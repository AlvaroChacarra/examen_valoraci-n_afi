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2025_02_Valoracion_LK\Valoración\Documentación\Anexos. Marco Black\Anexos. Valoración. Marco Black. Ejercicios\"/>
    </mc:Choice>
  </mc:AlternateContent>
  <xr:revisionPtr revIDLastSave="0" documentId="13_ncr:1_{359EA41F-B961-454E-853F-91DB870B2268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DT">Hoja1!$D$7</definedName>
    <definedName name="F0">Hoja1!$D$6</definedName>
    <definedName name="shift">Hoja1!$D$11</definedName>
    <definedName name="strike">Hoja1!$M$26</definedName>
    <definedName name="T">Hoja1!$D$8</definedName>
    <definedName name="volash">Hoja1!$D$9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D17" i="1"/>
  <c r="D7" i="1"/>
  <c r="E17" i="1" l="1"/>
  <c r="D18" i="1"/>
  <c r="D19" i="1" l="1"/>
  <c r="E18" i="1"/>
  <c r="D20" i="1" l="1"/>
  <c r="E19" i="1"/>
  <c r="D21" i="1" l="1"/>
  <c r="E20" i="1"/>
  <c r="D22" i="1" l="1"/>
  <c r="E21" i="1"/>
  <c r="D23" i="1" l="1"/>
  <c r="E22" i="1"/>
  <c r="D24" i="1" l="1"/>
  <c r="E23" i="1"/>
  <c r="D25" i="1" l="1"/>
  <c r="E24" i="1"/>
  <c r="D26" i="1" l="1"/>
  <c r="E25" i="1"/>
  <c r="D27" i="1" l="1"/>
  <c r="E26" i="1"/>
  <c r="D28" i="1" l="1"/>
  <c r="E27" i="1"/>
  <c r="D29" i="1" l="1"/>
  <c r="E28" i="1"/>
  <c r="D30" i="1" l="1"/>
  <c r="E29" i="1"/>
  <c r="D31" i="1" l="1"/>
  <c r="E30" i="1"/>
  <c r="D32" i="1" l="1"/>
  <c r="E31" i="1"/>
  <c r="D33" i="1" l="1"/>
  <c r="E32" i="1"/>
  <c r="D34" i="1" l="1"/>
  <c r="E33" i="1"/>
  <c r="D35" i="1" l="1"/>
  <c r="E34" i="1"/>
  <c r="D36" i="1" l="1"/>
  <c r="E35" i="1"/>
  <c r="D37" i="1" l="1"/>
  <c r="E36" i="1"/>
  <c r="D38" i="1" l="1"/>
  <c r="E37" i="1"/>
  <c r="D39" i="1" l="1"/>
  <c r="E38" i="1"/>
  <c r="D40" i="1" l="1"/>
  <c r="E39" i="1"/>
  <c r="D41" i="1" l="1"/>
  <c r="E40" i="1"/>
  <c r="D42" i="1" l="1"/>
  <c r="E41" i="1"/>
  <c r="D43" i="1" l="1"/>
  <c r="E42" i="1"/>
  <c r="D44" i="1" l="1"/>
  <c r="E43" i="1"/>
  <c r="D45" i="1" l="1"/>
  <c r="E44" i="1"/>
  <c r="D46" i="1" l="1"/>
  <c r="E45" i="1"/>
  <c r="D47" i="1" l="1"/>
  <c r="E46" i="1"/>
  <c r="D48" i="1" l="1"/>
  <c r="E47" i="1"/>
  <c r="D49" i="1" l="1"/>
  <c r="E48" i="1"/>
  <c r="D50" i="1" l="1"/>
  <c r="E49" i="1"/>
  <c r="D51" i="1" l="1"/>
  <c r="E50" i="1"/>
  <c r="D52" i="1" l="1"/>
  <c r="E51" i="1"/>
  <c r="D53" i="1" l="1"/>
  <c r="E52" i="1"/>
  <c r="D54" i="1" l="1"/>
  <c r="E53" i="1"/>
  <c r="D55" i="1" l="1"/>
  <c r="E54" i="1"/>
  <c r="D56" i="1" l="1"/>
  <c r="E55" i="1"/>
  <c r="D57" i="1" l="1"/>
  <c r="E56" i="1"/>
  <c r="D58" i="1" l="1"/>
  <c r="E57" i="1"/>
  <c r="D59" i="1" l="1"/>
  <c r="E58" i="1"/>
  <c r="D60" i="1" l="1"/>
  <c r="E59" i="1"/>
  <c r="D61" i="1" l="1"/>
  <c r="E60" i="1"/>
  <c r="D62" i="1" l="1"/>
  <c r="E61" i="1"/>
  <c r="D63" i="1" l="1"/>
  <c r="E62" i="1"/>
  <c r="D64" i="1" l="1"/>
  <c r="E63" i="1"/>
  <c r="D65" i="1" l="1"/>
  <c r="E64" i="1"/>
  <c r="D66" i="1" l="1"/>
  <c r="E65" i="1"/>
  <c r="D67" i="1" l="1"/>
  <c r="E66" i="1"/>
  <c r="D68" i="1" l="1"/>
  <c r="E67" i="1"/>
  <c r="D69" i="1" l="1"/>
  <c r="E68" i="1"/>
  <c r="D70" i="1" l="1"/>
  <c r="E69" i="1"/>
  <c r="D71" i="1" l="1"/>
  <c r="E70" i="1"/>
  <c r="D72" i="1" l="1"/>
  <c r="E71" i="1"/>
  <c r="D73" i="1" l="1"/>
  <c r="E72" i="1"/>
  <c r="D74" i="1" l="1"/>
  <c r="E73" i="1"/>
  <c r="D75" i="1" l="1"/>
  <c r="E74" i="1"/>
  <c r="D76" i="1" l="1"/>
  <c r="D77" i="1" s="1"/>
  <c r="E75" i="1"/>
  <c r="E77" i="1" l="1"/>
  <c r="D78" i="1"/>
  <c r="E76" i="1"/>
  <c r="E78" i="1" l="1"/>
  <c r="D79" i="1"/>
  <c r="D80" i="1" l="1"/>
  <c r="E79" i="1"/>
  <c r="D81" i="1" l="1"/>
  <c r="E80" i="1"/>
  <c r="E81" i="1" l="1"/>
  <c r="D82" i="1"/>
  <c r="E82" i="1" l="1"/>
  <c r="D83" i="1"/>
  <c r="D84" i="1" l="1"/>
  <c r="E83" i="1"/>
  <c r="D85" i="1" l="1"/>
  <c r="E84" i="1"/>
  <c r="E85" i="1" l="1"/>
  <c r="D86" i="1"/>
  <c r="D87" i="1" l="1"/>
  <c r="E86" i="1"/>
  <c r="E87" i="1" l="1"/>
  <c r="D88" i="1"/>
  <c r="E88" i="1" l="1"/>
  <c r="D89" i="1"/>
  <c r="D90" i="1" l="1"/>
  <c r="E89" i="1"/>
  <c r="D91" i="1" l="1"/>
  <c r="E90" i="1"/>
  <c r="E91" i="1" l="1"/>
  <c r="D92" i="1"/>
  <c r="E92" i="1" l="1"/>
  <c r="D93" i="1"/>
  <c r="E93" i="1" l="1"/>
  <c r="D94" i="1"/>
  <c r="D95" i="1" l="1"/>
  <c r="E94" i="1"/>
  <c r="D96" i="1" l="1"/>
  <c r="E95" i="1"/>
  <c r="E96" i="1" l="1"/>
  <c r="D97" i="1"/>
  <c r="E97" i="1" l="1"/>
  <c r="D98" i="1"/>
  <c r="E98" i="1" l="1"/>
</calcChain>
</file>

<file path=xl/sharedStrings.xml><?xml version="1.0" encoding="utf-8"?>
<sst xmlns="http://schemas.openxmlformats.org/spreadsheetml/2006/main" count="25" uniqueCount="23">
  <si>
    <t>DT</t>
  </si>
  <si>
    <t>T</t>
  </si>
  <si>
    <t>año</t>
  </si>
  <si>
    <t>descuento T+DT</t>
  </si>
  <si>
    <t>sh</t>
  </si>
  <si>
    <t>escenarios de F_T</t>
  </si>
  <si>
    <t>F0</t>
  </si>
  <si>
    <t>normal</t>
  </si>
  <si>
    <t>probs</t>
  </si>
  <si>
    <t>vola sh</t>
  </si>
  <si>
    <t>Valoración del caplet</t>
  </si>
  <si>
    <t>con fórmula</t>
  </si>
  <si>
    <t>moneyness</t>
  </si>
  <si>
    <t>vola acum</t>
  </si>
  <si>
    <t>d+</t>
  </si>
  <si>
    <t>d-</t>
  </si>
  <si>
    <t>Phi(d+)</t>
  </si>
  <si>
    <t>Phi(d-)</t>
  </si>
  <si>
    <t>precio</t>
  </si>
  <si>
    <t>K</t>
  </si>
  <si>
    <t>con numérico</t>
  </si>
  <si>
    <t>Payoff</t>
  </si>
  <si>
    <t>Nominal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</si>
</sst>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4" x14ac:knownFonts="1">
    <font>
      <sz val="11"/>
      <color theme="1"/>
      <name val="Amasis MT Pro"/>
      <family val="2"/>
      <scheme val="minor"/>
    </font>
    <font>
      <sz val="11"/>
      <color theme="1"/>
      <name val="Amasis MT Pro"/>
      <family val="2"/>
      <scheme val="minor"/>
    </font>
    <font>
      <b/>
      <i/>
      <sz val="11"/>
      <color theme="1"/>
      <name val="Amasis MT Pro"/>
      <family val="2"/>
      <scheme val="minor"/>
    </font>
    <font>
      <b/>
      <sz val="11"/>
      <color theme="0"/>
      <name val="Amasis MT Pro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10" fontId="0" fillId="0" borderId="0" xfId="0" applyNumberFormat="1"/>
    <xf numFmtId="10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3" borderId="0" xfId="1" applyNumberFormat="1" applyFont="1" applyFill="1" applyBorder="1" applyAlignment="1">
      <alignment horizontal="center"/>
    </xf>
    <xf numFmtId="164" fontId="0" fillId="3" borderId="7" xfId="1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3" borderId="2" xfId="1" applyNumberFormat="1" applyFont="1" applyFill="1" applyBorder="1" applyAlignment="1">
      <alignment horizontal="center"/>
    </xf>
    <xf numFmtId="0" fontId="2" fillId="0" borderId="0" xfId="0" applyFont="1"/>
    <xf numFmtId="10" fontId="0" fillId="0" borderId="3" xfId="1" applyNumberFormat="1" applyFont="1" applyFill="1" applyBorder="1" applyAlignment="1">
      <alignment horizontal="center"/>
    </xf>
    <xf numFmtId="10" fontId="0" fillId="0" borderId="5" xfId="1" applyNumberFormat="1" applyFont="1" applyFill="1" applyBorder="1" applyAlignment="1">
      <alignment horizontal="center"/>
    </xf>
    <xf numFmtId="10" fontId="0" fillId="0" borderId="8" xfId="1" applyNumberFormat="1" applyFont="1" applyFill="1" applyBorder="1" applyAlignment="1">
      <alignment horizontal="center"/>
    </xf>
    <xf numFmtId="0" fontId="3" fillId="4" borderId="0" xfId="0" applyFont="1" applyFill="1"/>
    <xf numFmtId="0" fontId="3" fillId="4" borderId="9" xfId="0" applyFont="1" applyFill="1" applyBorder="1" applyAlignment="1">
      <alignment horizontal="center"/>
    </xf>
    <xf numFmtId="10" fontId="0" fillId="0" borderId="10" xfId="0" applyNumberFormat="1" applyBorder="1"/>
    <xf numFmtId="4" fontId="0" fillId="0" borderId="10" xfId="0" applyNumberFormat="1" applyBorder="1"/>
    <xf numFmtId="4" fontId="0" fillId="2" borderId="0" xfId="1" applyNumberFormat="1" applyFont="1" applyFill="1"/>
    <xf numFmtId="0" fontId="3" fillId="5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3"/>
          </c:marker>
          <c:xVal>
            <c:numRef>
              <c:f>Hoja1!$F$16:$F$98</c:f>
              <c:numCache>
                <c:formatCode>0.00%</c:formatCode>
                <c:ptCount val="83"/>
              </c:numCache>
            </c:numRef>
          </c:xVal>
          <c:yVal>
            <c:numRef>
              <c:f>Hoja1!$G$16:$G$98</c:f>
              <c:numCache>
                <c:formatCode>0.000%</c:formatCode>
                <c:ptCount val="8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1C-4127-8267-476758E25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391552"/>
        <c:axId val="160393088"/>
      </c:scatterChart>
      <c:valAx>
        <c:axId val="160391552"/>
        <c:scaling>
          <c:orientation val="minMax"/>
          <c:max val="4.0000000000000008E-2"/>
          <c:min val="-8.0000000000000016E-2"/>
        </c:scaling>
        <c:delete val="0"/>
        <c:axPos val="b"/>
        <c:numFmt formatCode="0.00%" sourceLinked="1"/>
        <c:majorTickMark val="out"/>
        <c:minorTickMark val="none"/>
        <c:tickLblPos val="nextTo"/>
        <c:crossAx val="160393088"/>
        <c:crosses val="autoZero"/>
        <c:crossBetween val="midCat"/>
      </c:valAx>
      <c:valAx>
        <c:axId val="160393088"/>
        <c:scaling>
          <c:orientation val="minMax"/>
          <c:max val="4.5000000000000012E-2"/>
        </c:scaling>
        <c:delete val="0"/>
        <c:axPos val="l"/>
        <c:majorGridlines/>
        <c:numFmt formatCode="0.000%" sourceLinked="1"/>
        <c:majorTickMark val="out"/>
        <c:minorTickMark val="none"/>
        <c:tickLblPos val="nextTo"/>
        <c:crossAx val="1603915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295276</xdr:colOff>
      <xdr:row>5</xdr:row>
      <xdr:rowOff>171451</xdr:rowOff>
    </xdr:from>
    <xdr:to>
      <xdr:col>10</xdr:col>
      <xdr:colOff>523876</xdr:colOff>
      <xdr:row>9</xdr:row>
      <xdr:rowOff>66863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8176" y="1133476"/>
          <a:ext cx="4552950" cy="803462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180975</xdr:colOff>
      <xdr:row>2</xdr:row>
      <xdr:rowOff>133349</xdr:rowOff>
    </xdr:from>
    <xdr:to>
      <xdr:col>21</xdr:col>
      <xdr:colOff>419100</xdr:colOff>
      <xdr:row>21</xdr:row>
      <xdr:rowOff>190499</xdr:rowOff>
    </xdr:to>
    <xdr:graphicFrame macro="">
      <xdr:nvGraphicFramePr>
        <xdr:cNvPr id="6" name="5 Gráfic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olores_Afi_2024">
  <a:themeElements>
    <a:clrScheme name="Afi_Paleta Pptx">
      <a:dk1>
        <a:srgbClr val="000000"/>
      </a:dk1>
      <a:lt1>
        <a:srgbClr val="FFFFFF"/>
      </a:lt1>
      <a:dk2>
        <a:srgbClr val="062C3F"/>
      </a:dk2>
      <a:lt2>
        <a:srgbClr val="F3F3F3"/>
      </a:lt2>
      <a:accent1>
        <a:srgbClr val="0085CA"/>
      </a:accent1>
      <a:accent2>
        <a:srgbClr val="C8DAE2"/>
      </a:accent2>
      <a:accent3>
        <a:srgbClr val="062C3F"/>
      </a:accent3>
      <a:accent4>
        <a:srgbClr val="0085CA"/>
      </a:accent4>
      <a:accent5>
        <a:srgbClr val="C8DAE2"/>
      </a:accent5>
      <a:accent6>
        <a:srgbClr val="F3F3F3"/>
      </a:accent6>
      <a:hlink>
        <a:srgbClr val="0085CA"/>
      </a:hlink>
      <a:folHlink>
        <a:srgbClr val="062C3F"/>
      </a:folHlink>
    </a:clrScheme>
    <a:fontScheme name="Afi">
      <a:majorFont>
        <a:latin typeface="Amasis MT Pro"/>
        <a:ea typeface=""/>
        <a:cs typeface=""/>
      </a:majorFont>
      <a:minorFont>
        <a:latin typeface="Amasis M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Tema_Afi_2024" id="{6B772454-601F-484F-9B93-12CDB0DD81FE}" vid="{8D9AA64B-FBED-4A4A-BCB4-18FC448ED8E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P98"/>
  <sheetViews>
    <sheetView showGridLines="0" tabSelected="1" workbookViewId="0">
      <selection activeCell="J19" sqref="J19"/>
    </sheetView>
  </sheetViews>
  <sheetFormatPr defaultColWidth="11.36328125" defaultRowHeight="14.5" x14ac:dyDescent="0.35"/>
  <cols>
    <col min="2" max="2" width="14" customWidth="1"/>
    <col min="3" max="3" width="17.1796875" bestFit="1" customWidth="1"/>
    <col min="6" max="6" width="16.6328125" customWidth="1"/>
    <col min="13" max="13" width="14.08984375" customWidth="1"/>
    <col min="16" max="16" width="11.81640625" customWidth="1"/>
  </cols>
  <sheetData>
    <row r="5" spans="3:8" ht="15" thickBot="1" x14ac:dyDescent="0.4"/>
    <row r="6" spans="3:8" ht="15" x14ac:dyDescent="0.4">
      <c r="C6" s="29" t="s">
        <v>6</v>
      </c>
      <c r="D6" s="2">
        <v>-3.0000000000000001E-3</v>
      </c>
      <c r="E6" s="3"/>
    </row>
    <row r="7" spans="3:8" ht="15" x14ac:dyDescent="0.4">
      <c r="C7" s="30" t="s">
        <v>0</v>
      </c>
      <c r="D7" s="4">
        <f>1/4</f>
        <v>0.25</v>
      </c>
      <c r="E7" s="5" t="s">
        <v>2</v>
      </c>
    </row>
    <row r="8" spans="3:8" ht="15" x14ac:dyDescent="0.4">
      <c r="C8" s="30" t="s">
        <v>1</v>
      </c>
      <c r="D8" s="4">
        <v>1</v>
      </c>
      <c r="E8" s="5" t="s">
        <v>2</v>
      </c>
    </row>
    <row r="9" spans="3:8" ht="15" x14ac:dyDescent="0.4">
      <c r="C9" s="30" t="s">
        <v>9</v>
      </c>
      <c r="D9" s="6">
        <v>0.3</v>
      </c>
      <c r="E9" s="5"/>
    </row>
    <row r="10" spans="3:8" ht="15" x14ac:dyDescent="0.4">
      <c r="C10" s="30" t="s">
        <v>3</v>
      </c>
      <c r="D10" s="7">
        <v>0.995</v>
      </c>
      <c r="E10" s="5"/>
      <c r="F10" s="1"/>
    </row>
    <row r="11" spans="3:8" ht="15.5" thickBot="1" x14ac:dyDescent="0.45">
      <c r="C11" s="31" t="s">
        <v>4</v>
      </c>
      <c r="D11" s="8">
        <v>0.03</v>
      </c>
      <c r="E11" s="9"/>
    </row>
    <row r="15" spans="3:8" ht="15.5" thickBot="1" x14ac:dyDescent="0.45">
      <c r="C15" s="4"/>
      <c r="D15" s="28" t="s">
        <v>7</v>
      </c>
      <c r="E15" s="28" t="s">
        <v>8</v>
      </c>
      <c r="F15" s="28" t="s">
        <v>5</v>
      </c>
      <c r="G15" s="28" t="s">
        <v>8</v>
      </c>
      <c r="H15" s="28" t="s">
        <v>21</v>
      </c>
    </row>
    <row r="16" spans="3:8" x14ac:dyDescent="0.35">
      <c r="C16" s="17"/>
      <c r="D16" s="10">
        <v>-4</v>
      </c>
      <c r="E16" s="18">
        <f>NORMDIST(D16,0,1,FALSE)*0.1</f>
        <v>1.3383022576488537E-5</v>
      </c>
      <c r="F16" s="20"/>
      <c r="G16" s="12"/>
      <c r="H16" s="1"/>
    </row>
    <row r="17" spans="3:16" x14ac:dyDescent="0.35">
      <c r="C17" s="11"/>
      <c r="D17" s="4">
        <f>D16+0.1</f>
        <v>-3.9</v>
      </c>
      <c r="E17" s="15">
        <f t="shared" ref="E17:E76" si="0">NORMDIST(D17,0,1,FALSE)*0.1</f>
        <v>1.9865547139277272E-5</v>
      </c>
      <c r="F17" s="21"/>
      <c r="G17" s="12"/>
      <c r="H17" s="1"/>
    </row>
    <row r="18" spans="3:16" x14ac:dyDescent="0.35">
      <c r="C18" s="11"/>
      <c r="D18" s="4">
        <f t="shared" ref="D18:D81" si="1">D17+0.1</f>
        <v>-3.8</v>
      </c>
      <c r="E18" s="15">
        <f t="shared" si="0"/>
        <v>2.919469257914603E-5</v>
      </c>
      <c r="F18" s="21"/>
      <c r="G18" s="12"/>
      <c r="H18" s="1"/>
    </row>
    <row r="19" spans="3:16" x14ac:dyDescent="0.35">
      <c r="C19" s="11"/>
      <c r="D19" s="4">
        <f t="shared" si="1"/>
        <v>-3.6999999999999997</v>
      </c>
      <c r="E19" s="15">
        <f t="shared" si="0"/>
        <v>4.2478027055075223E-5</v>
      </c>
      <c r="F19" s="21"/>
      <c r="G19" s="12"/>
      <c r="H19" s="1"/>
    </row>
    <row r="20" spans="3:16" x14ac:dyDescent="0.35">
      <c r="C20" s="11"/>
      <c r="D20" s="4">
        <f t="shared" si="1"/>
        <v>-3.5999999999999996</v>
      </c>
      <c r="E20" s="15">
        <f t="shared" si="0"/>
        <v>6.1190193011377296E-5</v>
      </c>
      <c r="F20" s="21"/>
      <c r="G20" s="12"/>
      <c r="H20" s="1"/>
    </row>
    <row r="21" spans="3:16" x14ac:dyDescent="0.35">
      <c r="C21" s="11"/>
      <c r="D21" s="4">
        <f t="shared" si="1"/>
        <v>-3.4999999999999996</v>
      </c>
      <c r="E21" s="15">
        <f t="shared" si="0"/>
        <v>8.7268269504576173E-5</v>
      </c>
      <c r="F21" s="21"/>
      <c r="G21" s="12"/>
      <c r="H21" s="1"/>
    </row>
    <row r="22" spans="3:16" x14ac:dyDescent="0.35">
      <c r="C22" s="11"/>
      <c r="D22" s="4">
        <f t="shared" si="1"/>
        <v>-3.3999999999999995</v>
      </c>
      <c r="E22" s="15">
        <f t="shared" si="0"/>
        <v>1.2322191684730212E-4</v>
      </c>
      <c r="F22" s="21"/>
      <c r="G22" s="12"/>
      <c r="H22" s="1"/>
    </row>
    <row r="23" spans="3:16" x14ac:dyDescent="0.35">
      <c r="C23" s="11"/>
      <c r="D23" s="4">
        <f t="shared" si="1"/>
        <v>-3.2999999999999994</v>
      </c>
      <c r="E23" s="15">
        <f t="shared" si="0"/>
        <v>1.7225689390536843E-4</v>
      </c>
      <c r="F23" s="21"/>
      <c r="G23" s="12"/>
      <c r="H23" s="1"/>
    </row>
    <row r="24" spans="3:16" x14ac:dyDescent="0.35">
      <c r="C24" s="11"/>
      <c r="D24" s="4">
        <f t="shared" si="1"/>
        <v>-3.1999999999999993</v>
      </c>
      <c r="E24" s="15">
        <f t="shared" si="0"/>
        <v>2.3840882014648486E-4</v>
      </c>
      <c r="F24" s="21"/>
      <c r="G24" s="12"/>
      <c r="H24" s="1"/>
    </row>
    <row r="25" spans="3:16" ht="15" thickBot="1" x14ac:dyDescent="0.4">
      <c r="C25" s="11"/>
      <c r="D25" s="4">
        <f t="shared" si="1"/>
        <v>-3.0999999999999992</v>
      </c>
      <c r="E25" s="15">
        <f t="shared" si="0"/>
        <v>3.2668190561999273E-4</v>
      </c>
      <c r="F25" s="21"/>
      <c r="G25" s="12"/>
      <c r="H25" s="1"/>
    </row>
    <row r="26" spans="3:16" ht="15.5" thickBot="1" x14ac:dyDescent="0.45">
      <c r="C26" s="11"/>
      <c r="D26" s="4">
        <f t="shared" si="1"/>
        <v>-2.9999999999999991</v>
      </c>
      <c r="E26" s="15">
        <f t="shared" si="0"/>
        <v>4.431848411938019E-4</v>
      </c>
      <c r="F26" s="21"/>
      <c r="G26" s="12"/>
      <c r="H26" s="1"/>
      <c r="J26" s="19" t="s">
        <v>10</v>
      </c>
      <c r="L26" s="24" t="s">
        <v>19</v>
      </c>
      <c r="M26" s="25">
        <v>-4.0000000000000001E-3</v>
      </c>
    </row>
    <row r="27" spans="3:16" ht="15.5" thickBot="1" x14ac:dyDescent="0.45">
      <c r="C27" s="11"/>
      <c r="D27" s="4">
        <f t="shared" si="1"/>
        <v>-2.899999999999999</v>
      </c>
      <c r="E27" s="15">
        <f t="shared" si="0"/>
        <v>5.9525324197758696E-4</v>
      </c>
      <c r="F27" s="21"/>
      <c r="G27" s="12"/>
      <c r="H27" s="1"/>
      <c r="L27" s="24" t="s">
        <v>22</v>
      </c>
      <c r="M27" s="26">
        <v>1000000</v>
      </c>
    </row>
    <row r="28" spans="3:16" x14ac:dyDescent="0.35">
      <c r="C28" s="11"/>
      <c r="D28" s="4">
        <f t="shared" si="1"/>
        <v>-2.7999999999999989</v>
      </c>
      <c r="E28" s="15">
        <f t="shared" si="0"/>
        <v>7.91545158297999E-4</v>
      </c>
      <c r="F28" s="21"/>
      <c r="G28" s="12"/>
      <c r="H28" s="1"/>
      <c r="J28" s="19" t="s">
        <v>11</v>
      </c>
    </row>
    <row r="29" spans="3:16" x14ac:dyDescent="0.35">
      <c r="C29" s="11"/>
      <c r="D29" s="4">
        <f t="shared" si="1"/>
        <v>-2.6999999999999988</v>
      </c>
      <c r="E29" s="15">
        <f t="shared" si="0"/>
        <v>1.0420934814422628E-3</v>
      </c>
      <c r="F29" s="21"/>
      <c r="G29" s="12"/>
      <c r="H29" s="1"/>
    </row>
    <row r="30" spans="3:16" ht="15" x14ac:dyDescent="0.4">
      <c r="C30" s="11"/>
      <c r="D30" s="4">
        <f t="shared" si="1"/>
        <v>-2.5999999999999988</v>
      </c>
      <c r="E30" s="15">
        <f t="shared" si="0"/>
        <v>1.3582969233685662E-3</v>
      </c>
      <c r="F30" s="21"/>
      <c r="G30" s="12"/>
      <c r="H30" s="1"/>
      <c r="J30" s="23" t="s">
        <v>12</v>
      </c>
      <c r="K30" s="23" t="s">
        <v>13</v>
      </c>
      <c r="L30" s="23" t="s">
        <v>14</v>
      </c>
      <c r="M30" s="23" t="s">
        <v>15</v>
      </c>
      <c r="N30" s="23" t="s">
        <v>16</v>
      </c>
      <c r="O30" s="23" t="s">
        <v>17</v>
      </c>
      <c r="P30" s="23" t="s">
        <v>18</v>
      </c>
    </row>
    <row r="31" spans="3:16" x14ac:dyDescent="0.35">
      <c r="C31" s="11"/>
      <c r="D31" s="4">
        <f t="shared" si="1"/>
        <v>-2.4999999999999987</v>
      </c>
      <c r="E31" s="15">
        <f t="shared" si="0"/>
        <v>1.7528300493568601E-3</v>
      </c>
      <c r="F31" s="21"/>
      <c r="G31" s="12"/>
      <c r="H31" s="1"/>
      <c r="P31" s="27"/>
    </row>
    <row r="32" spans="3:16" x14ac:dyDescent="0.35">
      <c r="C32" s="11"/>
      <c r="D32" s="4">
        <f t="shared" si="1"/>
        <v>-2.3999999999999986</v>
      </c>
      <c r="E32" s="15">
        <f t="shared" si="0"/>
        <v>2.2394530294842971E-3</v>
      </c>
      <c r="F32" s="21"/>
      <c r="G32" s="12"/>
      <c r="H32" s="1"/>
    </row>
    <row r="33" spans="3:13" x14ac:dyDescent="0.35">
      <c r="C33" s="11"/>
      <c r="D33" s="4">
        <f t="shared" si="1"/>
        <v>-2.2999999999999985</v>
      </c>
      <c r="E33" s="15">
        <f t="shared" si="0"/>
        <v>2.8327037741601277E-3</v>
      </c>
      <c r="F33" s="21"/>
      <c r="G33" s="12"/>
      <c r="H33" s="1"/>
      <c r="J33" s="19" t="s">
        <v>20</v>
      </c>
    </row>
    <row r="34" spans="3:13" x14ac:dyDescent="0.35">
      <c r="C34" s="11"/>
      <c r="D34" s="4">
        <f t="shared" si="1"/>
        <v>-2.1999999999999984</v>
      </c>
      <c r="E34" s="15">
        <f t="shared" si="0"/>
        <v>3.5474592846231573E-3</v>
      </c>
      <c r="F34" s="21"/>
      <c r="G34" s="12"/>
      <c r="H34" s="1"/>
      <c r="M34" s="27"/>
    </row>
    <row r="35" spans="3:13" x14ac:dyDescent="0.35">
      <c r="C35" s="11"/>
      <c r="D35" s="4">
        <f t="shared" si="1"/>
        <v>-2.0999999999999983</v>
      </c>
      <c r="E35" s="15">
        <f t="shared" si="0"/>
        <v>4.3983595980427352E-3</v>
      </c>
      <c r="F35" s="21"/>
      <c r="G35" s="12"/>
      <c r="H35" s="1"/>
    </row>
    <row r="36" spans="3:13" x14ac:dyDescent="0.35">
      <c r="C36" s="11"/>
      <c r="D36" s="4">
        <f t="shared" si="1"/>
        <v>-1.9999999999999982</v>
      </c>
      <c r="E36" s="15">
        <f t="shared" si="0"/>
        <v>5.3990966513188252E-3</v>
      </c>
      <c r="F36" s="21"/>
      <c r="G36" s="12"/>
      <c r="H36" s="1"/>
    </row>
    <row r="37" spans="3:13" x14ac:dyDescent="0.35">
      <c r="C37" s="11"/>
      <c r="D37" s="4">
        <f t="shared" si="1"/>
        <v>-1.8999999999999981</v>
      </c>
      <c r="E37" s="15">
        <f t="shared" si="0"/>
        <v>6.5615814774676838E-3</v>
      </c>
      <c r="F37" s="21"/>
      <c r="G37" s="12"/>
      <c r="H37" s="1"/>
    </row>
    <row r="38" spans="3:13" x14ac:dyDescent="0.35">
      <c r="C38" s="11"/>
      <c r="D38" s="4">
        <f t="shared" si="1"/>
        <v>-1.799999999999998</v>
      </c>
      <c r="E38" s="15">
        <f t="shared" si="0"/>
        <v>7.8950158300894434E-3</v>
      </c>
      <c r="F38" s="21"/>
      <c r="G38" s="12"/>
      <c r="H38" s="1"/>
    </row>
    <row r="39" spans="3:13" x14ac:dyDescent="0.35">
      <c r="C39" s="11"/>
      <c r="D39" s="4">
        <f t="shared" si="1"/>
        <v>-1.699999999999998</v>
      </c>
      <c r="E39" s="15">
        <f t="shared" si="0"/>
        <v>9.4049077376887266E-3</v>
      </c>
      <c r="F39" s="21"/>
      <c r="G39" s="12"/>
      <c r="H39" s="1"/>
    </row>
    <row r="40" spans="3:13" x14ac:dyDescent="0.35">
      <c r="C40" s="11"/>
      <c r="D40" s="4">
        <f t="shared" si="1"/>
        <v>-1.5999999999999979</v>
      </c>
      <c r="E40" s="15">
        <f t="shared" si="0"/>
        <v>1.1092083467945593E-2</v>
      </c>
      <c r="F40" s="21"/>
      <c r="G40" s="12"/>
      <c r="H40" s="1"/>
    </row>
    <row r="41" spans="3:13" x14ac:dyDescent="0.35">
      <c r="C41" s="11"/>
      <c r="D41" s="4">
        <f t="shared" si="1"/>
        <v>-1.4999999999999978</v>
      </c>
      <c r="E41" s="15">
        <f t="shared" si="0"/>
        <v>1.2951759566589217E-2</v>
      </c>
      <c r="F41" s="21"/>
      <c r="G41" s="12"/>
      <c r="H41" s="1"/>
    </row>
    <row r="42" spans="3:13" x14ac:dyDescent="0.35">
      <c r="C42" s="11"/>
      <c r="D42" s="4">
        <f t="shared" si="1"/>
        <v>-1.3999999999999977</v>
      </c>
      <c r="E42" s="15">
        <f t="shared" si="0"/>
        <v>1.4972746563574536E-2</v>
      </c>
      <c r="F42" s="21"/>
      <c r="G42" s="12"/>
      <c r="H42" s="1"/>
    </row>
    <row r="43" spans="3:13" x14ac:dyDescent="0.35">
      <c r="C43" s="11"/>
      <c r="D43" s="4">
        <f t="shared" si="1"/>
        <v>-1.2999999999999976</v>
      </c>
      <c r="E43" s="15">
        <f t="shared" si="0"/>
        <v>1.713685920478079E-2</v>
      </c>
      <c r="F43" s="21"/>
      <c r="G43" s="12"/>
      <c r="H43" s="1"/>
    </row>
    <row r="44" spans="3:13" x14ac:dyDescent="0.35">
      <c r="C44" s="11"/>
      <c r="D44" s="4">
        <f t="shared" si="1"/>
        <v>-1.1999999999999975</v>
      </c>
      <c r="E44" s="15">
        <f t="shared" si="0"/>
        <v>1.9418605498321355E-2</v>
      </c>
      <c r="F44" s="21"/>
      <c r="G44" s="12"/>
      <c r="H44" s="1"/>
    </row>
    <row r="45" spans="3:13" x14ac:dyDescent="0.35">
      <c r="C45" s="11"/>
      <c r="D45" s="4">
        <f t="shared" si="1"/>
        <v>-1.0999999999999974</v>
      </c>
      <c r="E45" s="15">
        <f t="shared" si="0"/>
        <v>2.1785217703255116E-2</v>
      </c>
      <c r="F45" s="21"/>
      <c r="G45" s="12"/>
      <c r="H45" s="1"/>
    </row>
    <row r="46" spans="3:13" x14ac:dyDescent="0.35">
      <c r="C46" s="11"/>
      <c r="D46" s="4">
        <f t="shared" si="1"/>
        <v>-0.99999999999999745</v>
      </c>
      <c r="E46" s="15">
        <f t="shared" si="0"/>
        <v>2.4197072451914398E-2</v>
      </c>
      <c r="F46" s="21"/>
      <c r="G46" s="12"/>
      <c r="H46" s="1"/>
    </row>
    <row r="47" spans="3:13" x14ac:dyDescent="0.35">
      <c r="C47" s="11"/>
      <c r="D47" s="4">
        <f t="shared" si="1"/>
        <v>-0.89999999999999747</v>
      </c>
      <c r="E47" s="15">
        <f t="shared" si="0"/>
        <v>2.6608524989875544E-2</v>
      </c>
      <c r="F47" s="21"/>
      <c r="G47" s="12"/>
      <c r="H47" s="1"/>
    </row>
    <row r="48" spans="3:13" x14ac:dyDescent="0.35">
      <c r="C48" s="11"/>
      <c r="D48" s="4">
        <f t="shared" si="1"/>
        <v>-0.79999999999999749</v>
      </c>
      <c r="E48" s="15">
        <f t="shared" si="0"/>
        <v>2.8969155276148337E-2</v>
      </c>
      <c r="F48" s="21"/>
      <c r="G48" s="12"/>
      <c r="H48" s="1"/>
    </row>
    <row r="49" spans="3:8" x14ac:dyDescent="0.35">
      <c r="C49" s="11"/>
      <c r="D49" s="4">
        <f t="shared" si="1"/>
        <v>-0.69999999999999751</v>
      </c>
      <c r="E49" s="15">
        <f t="shared" si="0"/>
        <v>3.1225393336676184E-2</v>
      </c>
      <c r="F49" s="21"/>
      <c r="G49" s="12"/>
      <c r="H49" s="1"/>
    </row>
    <row r="50" spans="3:8" x14ac:dyDescent="0.35">
      <c r="C50" s="11"/>
      <c r="D50" s="4">
        <f t="shared" si="1"/>
        <v>-0.59999999999999754</v>
      </c>
      <c r="E50" s="15">
        <f t="shared" si="0"/>
        <v>3.3322460289180011E-2</v>
      </c>
      <c r="F50" s="21"/>
      <c r="G50" s="12"/>
      <c r="H50" s="1"/>
    </row>
    <row r="51" spans="3:8" x14ac:dyDescent="0.35">
      <c r="C51" s="11"/>
      <c r="D51" s="4">
        <f t="shared" si="1"/>
        <v>-0.49999999999999756</v>
      </c>
      <c r="E51" s="15">
        <f t="shared" si="0"/>
        <v>3.5206532676429994E-2</v>
      </c>
      <c r="F51" s="21"/>
      <c r="G51" s="12"/>
      <c r="H51" s="1"/>
    </row>
    <row r="52" spans="3:8" x14ac:dyDescent="0.35">
      <c r="C52" s="11"/>
      <c r="D52" s="4">
        <f t="shared" si="1"/>
        <v>-0.39999999999999758</v>
      </c>
      <c r="E52" s="15">
        <f t="shared" si="0"/>
        <v>3.6827014030332367E-2</v>
      </c>
      <c r="F52" s="21"/>
      <c r="G52" s="12"/>
      <c r="H52" s="1"/>
    </row>
    <row r="53" spans="3:8" x14ac:dyDescent="0.35">
      <c r="C53" s="11"/>
      <c r="D53" s="4">
        <f t="shared" si="1"/>
        <v>-0.2999999999999976</v>
      </c>
      <c r="E53" s="15">
        <f t="shared" si="0"/>
        <v>3.8138781546052443E-2</v>
      </c>
      <c r="F53" s="21"/>
      <c r="G53" s="12"/>
      <c r="H53" s="1"/>
    </row>
    <row r="54" spans="3:8" x14ac:dyDescent="0.35">
      <c r="C54" s="11"/>
      <c r="D54" s="4">
        <f t="shared" si="1"/>
        <v>-0.1999999999999976</v>
      </c>
      <c r="E54" s="15">
        <f t="shared" si="0"/>
        <v>3.9104269397545612E-2</v>
      </c>
      <c r="F54" s="21"/>
      <c r="G54" s="12"/>
      <c r="H54" s="1"/>
    </row>
    <row r="55" spans="3:8" x14ac:dyDescent="0.35">
      <c r="C55" s="11"/>
      <c r="D55" s="4">
        <f t="shared" si="1"/>
        <v>-9.9999999999997591E-2</v>
      </c>
      <c r="E55" s="15">
        <f t="shared" si="0"/>
        <v>3.9695254747701192E-2</v>
      </c>
      <c r="F55" s="21"/>
      <c r="G55" s="12"/>
      <c r="H55" s="1"/>
    </row>
    <row r="56" spans="3:8" x14ac:dyDescent="0.35">
      <c r="C56" s="11"/>
      <c r="D56" s="4">
        <f t="shared" si="1"/>
        <v>2.4147350785597155E-15</v>
      </c>
      <c r="E56" s="15">
        <f t="shared" si="0"/>
        <v>3.9894228040143274E-2</v>
      </c>
      <c r="F56" s="21"/>
      <c r="G56" s="12"/>
      <c r="H56" s="1"/>
    </row>
    <row r="57" spans="3:8" x14ac:dyDescent="0.35">
      <c r="C57" s="11"/>
      <c r="D57" s="4">
        <f t="shared" si="1"/>
        <v>0.10000000000000242</v>
      </c>
      <c r="E57" s="15">
        <f t="shared" si="0"/>
        <v>3.9695254747701171E-2</v>
      </c>
      <c r="F57" s="21"/>
      <c r="G57" s="12"/>
      <c r="H57" s="1"/>
    </row>
    <row r="58" spans="3:8" x14ac:dyDescent="0.35">
      <c r="C58" s="11"/>
      <c r="D58" s="4">
        <f t="shared" si="1"/>
        <v>0.20000000000000243</v>
      </c>
      <c r="E58" s="15">
        <f t="shared" si="0"/>
        <v>3.9104269397545577E-2</v>
      </c>
      <c r="F58" s="21"/>
      <c r="G58" s="12"/>
      <c r="H58" s="1"/>
    </row>
    <row r="59" spans="3:8" x14ac:dyDescent="0.35">
      <c r="C59" s="11"/>
      <c r="D59" s="4">
        <f t="shared" si="1"/>
        <v>0.30000000000000243</v>
      </c>
      <c r="E59" s="15">
        <f t="shared" si="0"/>
        <v>3.813878154605238E-2</v>
      </c>
      <c r="F59" s="21"/>
      <c r="G59" s="12"/>
      <c r="H59" s="1"/>
    </row>
    <row r="60" spans="3:8" x14ac:dyDescent="0.35">
      <c r="C60" s="11"/>
      <c r="D60" s="4">
        <f t="shared" si="1"/>
        <v>0.40000000000000246</v>
      </c>
      <c r="E60" s="15">
        <f t="shared" si="0"/>
        <v>3.6827014030332297E-2</v>
      </c>
      <c r="F60" s="21"/>
      <c r="G60" s="12"/>
      <c r="H60" s="1"/>
    </row>
    <row r="61" spans="3:8" x14ac:dyDescent="0.35">
      <c r="C61" s="11"/>
      <c r="D61" s="4">
        <f t="shared" si="1"/>
        <v>0.50000000000000244</v>
      </c>
      <c r="E61" s="15">
        <f t="shared" si="0"/>
        <v>3.5206532676429911E-2</v>
      </c>
      <c r="F61" s="21"/>
      <c r="G61" s="12"/>
      <c r="H61" s="1"/>
    </row>
    <row r="62" spans="3:8" x14ac:dyDescent="0.35">
      <c r="C62" s="11"/>
      <c r="D62" s="4">
        <f t="shared" si="1"/>
        <v>0.60000000000000242</v>
      </c>
      <c r="E62" s="15">
        <f t="shared" si="0"/>
        <v>3.3322460289179921E-2</v>
      </c>
      <c r="F62" s="21"/>
      <c r="G62" s="12"/>
      <c r="H62" s="1"/>
    </row>
    <row r="63" spans="3:8" x14ac:dyDescent="0.35">
      <c r="C63" s="11"/>
      <c r="D63" s="4">
        <f t="shared" si="1"/>
        <v>0.7000000000000024</v>
      </c>
      <c r="E63" s="15">
        <f t="shared" si="0"/>
        <v>3.1225393336676073E-2</v>
      </c>
      <c r="F63" s="21"/>
      <c r="G63" s="12"/>
      <c r="H63" s="1"/>
    </row>
    <row r="64" spans="3:8" x14ac:dyDescent="0.35">
      <c r="C64" s="11"/>
      <c r="D64" s="4">
        <f t="shared" si="1"/>
        <v>0.80000000000000238</v>
      </c>
      <c r="E64" s="15">
        <f t="shared" si="0"/>
        <v>2.8969155276148219E-2</v>
      </c>
      <c r="F64" s="21"/>
      <c r="G64" s="12"/>
      <c r="H64" s="1"/>
    </row>
    <row r="65" spans="3:8" x14ac:dyDescent="0.35">
      <c r="C65" s="11"/>
      <c r="D65" s="4">
        <f t="shared" si="1"/>
        <v>0.90000000000000235</v>
      </c>
      <c r="E65" s="15">
        <f t="shared" si="0"/>
        <v>2.6608524989875426E-2</v>
      </c>
      <c r="F65" s="21"/>
      <c r="G65" s="12"/>
      <c r="H65" s="1"/>
    </row>
    <row r="66" spans="3:8" x14ac:dyDescent="0.35">
      <c r="C66" s="11"/>
      <c r="D66" s="4">
        <f t="shared" si="1"/>
        <v>1.0000000000000024</v>
      </c>
      <c r="E66" s="15">
        <f t="shared" si="0"/>
        <v>2.419707245191428E-2</v>
      </c>
      <c r="F66" s="21"/>
      <c r="G66" s="12"/>
      <c r="H66" s="1"/>
    </row>
    <row r="67" spans="3:8" x14ac:dyDescent="0.35">
      <c r="C67" s="11"/>
      <c r="D67" s="4">
        <f t="shared" si="1"/>
        <v>1.1000000000000025</v>
      </c>
      <c r="E67" s="15">
        <f t="shared" si="0"/>
        <v>2.1785217703254998E-2</v>
      </c>
      <c r="F67" s="21"/>
      <c r="G67" s="12"/>
      <c r="H67" s="1"/>
    </row>
    <row r="68" spans="3:8" x14ac:dyDescent="0.35">
      <c r="C68" s="11"/>
      <c r="D68" s="4">
        <f t="shared" si="1"/>
        <v>1.2000000000000026</v>
      </c>
      <c r="E68" s="15">
        <f t="shared" si="0"/>
        <v>1.9418605498321233E-2</v>
      </c>
      <c r="F68" s="21"/>
      <c r="G68" s="12"/>
      <c r="H68" s="1"/>
    </row>
    <row r="69" spans="3:8" x14ac:dyDescent="0.35">
      <c r="C69" s="11"/>
      <c r="D69" s="4">
        <f t="shared" si="1"/>
        <v>1.3000000000000027</v>
      </c>
      <c r="E69" s="15">
        <f t="shared" si="0"/>
        <v>1.7136859204780679E-2</v>
      </c>
      <c r="F69" s="21"/>
      <c r="G69" s="12"/>
      <c r="H69" s="1"/>
    </row>
    <row r="70" spans="3:8" x14ac:dyDescent="0.35">
      <c r="C70" s="11"/>
      <c r="D70" s="4">
        <f t="shared" si="1"/>
        <v>1.4000000000000028</v>
      </c>
      <c r="E70" s="15">
        <f t="shared" si="0"/>
        <v>1.4972746563574427E-2</v>
      </c>
      <c r="F70" s="21"/>
      <c r="G70" s="12"/>
      <c r="H70" s="1"/>
    </row>
    <row r="71" spans="3:8" x14ac:dyDescent="0.35">
      <c r="C71" s="11"/>
      <c r="D71" s="4">
        <f t="shared" si="1"/>
        <v>1.5000000000000029</v>
      </c>
      <c r="E71" s="15">
        <f t="shared" si="0"/>
        <v>1.2951759566589116E-2</v>
      </c>
      <c r="F71" s="21"/>
      <c r="G71" s="12"/>
      <c r="H71" s="1"/>
    </row>
    <row r="72" spans="3:8" x14ac:dyDescent="0.35">
      <c r="C72" s="11"/>
      <c r="D72" s="4">
        <f t="shared" si="1"/>
        <v>1.600000000000003</v>
      </c>
      <c r="E72" s="15">
        <f t="shared" si="0"/>
        <v>1.1092083467945504E-2</v>
      </c>
      <c r="F72" s="21"/>
      <c r="G72" s="12"/>
      <c r="H72" s="1"/>
    </row>
    <row r="73" spans="3:8" x14ac:dyDescent="0.35">
      <c r="C73" s="11"/>
      <c r="D73" s="4">
        <f t="shared" si="1"/>
        <v>1.7000000000000031</v>
      </c>
      <c r="E73" s="15">
        <f t="shared" si="0"/>
        <v>9.4049077376886434E-3</v>
      </c>
      <c r="F73" s="21"/>
      <c r="G73" s="12"/>
      <c r="H73" s="1"/>
    </row>
    <row r="74" spans="3:8" x14ac:dyDescent="0.35">
      <c r="C74" s="11"/>
      <c r="D74" s="4">
        <f t="shared" si="1"/>
        <v>1.8000000000000032</v>
      </c>
      <c r="E74" s="15">
        <f t="shared" si="0"/>
        <v>7.8950158300893723E-3</v>
      </c>
      <c r="F74" s="21"/>
      <c r="G74" s="12"/>
      <c r="H74" s="1"/>
    </row>
    <row r="75" spans="3:8" x14ac:dyDescent="0.35">
      <c r="C75" s="11"/>
      <c r="D75" s="4">
        <f t="shared" si="1"/>
        <v>1.9000000000000032</v>
      </c>
      <c r="E75" s="15">
        <f t="shared" si="0"/>
        <v>6.5615814774676196E-3</v>
      </c>
      <c r="F75" s="21"/>
      <c r="G75" s="12"/>
      <c r="H75" s="1"/>
    </row>
    <row r="76" spans="3:8" x14ac:dyDescent="0.35">
      <c r="C76" s="11"/>
      <c r="D76" s="4">
        <f t="shared" si="1"/>
        <v>2.0000000000000031</v>
      </c>
      <c r="E76" s="15">
        <f t="shared" si="0"/>
        <v>5.3990966513187723E-3</v>
      </c>
      <c r="F76" s="21"/>
      <c r="G76" s="12"/>
      <c r="H76" s="1"/>
    </row>
    <row r="77" spans="3:8" x14ac:dyDescent="0.35">
      <c r="C77" s="11"/>
      <c r="D77" s="4">
        <f t="shared" si="1"/>
        <v>2.1000000000000032</v>
      </c>
      <c r="E77" s="15">
        <f t="shared" ref="E77:E97" si="2">NORMDIST(D77,0,1,FALSE)*0.1</f>
        <v>4.3983595980426901E-3</v>
      </c>
      <c r="F77" s="21"/>
      <c r="G77" s="12"/>
      <c r="H77" s="1"/>
    </row>
    <row r="78" spans="3:8" x14ac:dyDescent="0.35">
      <c r="C78" s="11"/>
      <c r="D78" s="4">
        <f t="shared" si="1"/>
        <v>2.2000000000000033</v>
      </c>
      <c r="E78" s="15">
        <f t="shared" si="2"/>
        <v>3.5474592846231191E-3</v>
      </c>
      <c r="F78" s="21"/>
      <c r="G78" s="12"/>
      <c r="H78" s="1"/>
    </row>
    <row r="79" spans="3:8" x14ac:dyDescent="0.35">
      <c r="C79" s="11"/>
      <c r="D79" s="4">
        <f t="shared" si="1"/>
        <v>2.3000000000000034</v>
      </c>
      <c r="E79" s="15">
        <f t="shared" si="2"/>
        <v>2.8327037741600961E-3</v>
      </c>
      <c r="F79" s="21"/>
      <c r="G79" s="12"/>
      <c r="H79" s="1"/>
    </row>
    <row r="80" spans="3:8" x14ac:dyDescent="0.35">
      <c r="C80" s="11"/>
      <c r="D80" s="4">
        <f t="shared" si="1"/>
        <v>2.4000000000000035</v>
      </c>
      <c r="E80" s="15">
        <f t="shared" si="2"/>
        <v>2.2394530294842711E-3</v>
      </c>
      <c r="F80" s="21"/>
      <c r="G80" s="12"/>
      <c r="H80" s="1"/>
    </row>
    <row r="81" spans="3:8" x14ac:dyDescent="0.35">
      <c r="C81" s="11"/>
      <c r="D81" s="4">
        <f t="shared" si="1"/>
        <v>2.5000000000000036</v>
      </c>
      <c r="E81" s="15">
        <f t="shared" si="2"/>
        <v>1.7528300493568382E-3</v>
      </c>
      <c r="F81" s="21"/>
      <c r="G81" s="12"/>
      <c r="H81" s="1"/>
    </row>
    <row r="82" spans="3:8" x14ac:dyDescent="0.35">
      <c r="C82" s="11"/>
      <c r="D82" s="4">
        <f t="shared" ref="D82:D98" si="3">D81+0.1</f>
        <v>2.6000000000000036</v>
      </c>
      <c r="E82" s="15">
        <f t="shared" si="2"/>
        <v>1.3582969233685487E-3</v>
      </c>
      <c r="F82" s="21"/>
      <c r="G82" s="12"/>
      <c r="H82" s="1"/>
    </row>
    <row r="83" spans="3:8" x14ac:dyDescent="0.35">
      <c r="C83" s="11"/>
      <c r="D83" s="4">
        <f t="shared" si="3"/>
        <v>2.7000000000000037</v>
      </c>
      <c r="E83" s="15">
        <f t="shared" si="2"/>
        <v>1.0420934814422487E-3</v>
      </c>
      <c r="F83" s="21"/>
      <c r="G83" s="12"/>
      <c r="H83" s="1"/>
    </row>
    <row r="84" spans="3:8" x14ac:dyDescent="0.35">
      <c r="C84" s="11"/>
      <c r="D84" s="4">
        <f t="shared" si="3"/>
        <v>2.8000000000000038</v>
      </c>
      <c r="E84" s="15">
        <f t="shared" si="2"/>
        <v>7.9154515829798805E-4</v>
      </c>
      <c r="F84" s="21"/>
      <c r="G84" s="12"/>
      <c r="H84" s="1"/>
    </row>
    <row r="85" spans="3:8" x14ac:dyDescent="0.35">
      <c r="C85" s="11"/>
      <c r="D85" s="4">
        <f t="shared" si="3"/>
        <v>2.9000000000000039</v>
      </c>
      <c r="E85" s="15">
        <f t="shared" si="2"/>
        <v>5.9525324197757861E-4</v>
      </c>
      <c r="F85" s="21"/>
      <c r="G85" s="12"/>
      <c r="H85" s="1"/>
    </row>
    <row r="86" spans="3:8" x14ac:dyDescent="0.35">
      <c r="C86" s="11"/>
      <c r="D86" s="4">
        <f t="shared" si="3"/>
        <v>3.000000000000004</v>
      </c>
      <c r="E86" s="15">
        <f t="shared" si="2"/>
        <v>4.4318484119379529E-4</v>
      </c>
      <c r="F86" s="21"/>
      <c r="G86" s="12"/>
      <c r="H86" s="1"/>
    </row>
    <row r="87" spans="3:8" x14ac:dyDescent="0.35">
      <c r="C87" s="11"/>
      <c r="D87" s="4">
        <f t="shared" si="3"/>
        <v>3.1000000000000041</v>
      </c>
      <c r="E87" s="15">
        <f t="shared" si="2"/>
        <v>3.2668190561998785E-4</v>
      </c>
      <c r="F87" s="21"/>
      <c r="G87" s="12"/>
      <c r="H87" s="1"/>
    </row>
    <row r="88" spans="3:8" x14ac:dyDescent="0.35">
      <c r="C88" s="11"/>
      <c r="D88" s="4">
        <f t="shared" si="3"/>
        <v>3.2000000000000042</v>
      </c>
      <c r="E88" s="15">
        <f t="shared" si="2"/>
        <v>2.3840882014648107E-4</v>
      </c>
      <c r="F88" s="21"/>
      <c r="G88" s="12"/>
      <c r="H88" s="1"/>
    </row>
    <row r="89" spans="3:8" x14ac:dyDescent="0.35">
      <c r="C89" s="11"/>
      <c r="D89" s="4">
        <f t="shared" si="3"/>
        <v>3.3000000000000043</v>
      </c>
      <c r="E89" s="15">
        <f t="shared" si="2"/>
        <v>1.7225689390536553E-4</v>
      </c>
      <c r="F89" s="21"/>
      <c r="G89" s="12"/>
      <c r="H89" s="1"/>
    </row>
    <row r="90" spans="3:8" x14ac:dyDescent="0.35">
      <c r="C90" s="11"/>
      <c r="D90" s="4">
        <f t="shared" si="3"/>
        <v>3.4000000000000044</v>
      </c>
      <c r="E90" s="15">
        <f t="shared" si="2"/>
        <v>1.2322191684730014E-4</v>
      </c>
      <c r="F90" s="21"/>
      <c r="G90" s="12"/>
      <c r="H90" s="1"/>
    </row>
    <row r="91" spans="3:8" x14ac:dyDescent="0.35">
      <c r="C91" s="11"/>
      <c r="D91" s="4">
        <f t="shared" si="3"/>
        <v>3.5000000000000044</v>
      </c>
      <c r="E91" s="15">
        <f t="shared" si="2"/>
        <v>8.7268269504574614E-5</v>
      </c>
      <c r="F91" s="21"/>
      <c r="G91" s="12"/>
      <c r="H91" s="1"/>
    </row>
    <row r="92" spans="3:8" x14ac:dyDescent="0.35">
      <c r="C92" s="11"/>
      <c r="D92" s="4">
        <f t="shared" si="3"/>
        <v>3.6000000000000045</v>
      </c>
      <c r="E92" s="15">
        <f t="shared" si="2"/>
        <v>6.1190193011376211E-5</v>
      </c>
      <c r="F92" s="21"/>
      <c r="G92" s="12"/>
      <c r="H92" s="1"/>
    </row>
    <row r="93" spans="3:8" x14ac:dyDescent="0.35">
      <c r="C93" s="11"/>
      <c r="D93" s="4">
        <f t="shared" si="3"/>
        <v>3.7000000000000046</v>
      </c>
      <c r="E93" s="15">
        <f t="shared" si="2"/>
        <v>4.2478027055074431E-5</v>
      </c>
      <c r="F93" s="21"/>
      <c r="G93" s="12"/>
      <c r="H93" s="1"/>
    </row>
    <row r="94" spans="3:8" x14ac:dyDescent="0.35">
      <c r="C94" s="11"/>
      <c r="D94" s="4">
        <f t="shared" si="3"/>
        <v>3.8000000000000047</v>
      </c>
      <c r="E94" s="15">
        <f t="shared" si="2"/>
        <v>2.9194692579145508E-5</v>
      </c>
      <c r="F94" s="21"/>
      <c r="G94" s="12"/>
      <c r="H94" s="1"/>
    </row>
    <row r="95" spans="3:8" x14ac:dyDescent="0.35">
      <c r="C95" s="11"/>
      <c r="D95" s="4">
        <f t="shared" si="3"/>
        <v>3.9000000000000048</v>
      </c>
      <c r="E95" s="15">
        <f t="shared" si="2"/>
        <v>1.9865547139276882E-5</v>
      </c>
      <c r="F95" s="21"/>
      <c r="G95" s="12"/>
      <c r="H95" s="1"/>
    </row>
    <row r="96" spans="3:8" x14ac:dyDescent="0.35">
      <c r="C96" s="11"/>
      <c r="D96" s="4">
        <f t="shared" si="3"/>
        <v>4.0000000000000044</v>
      </c>
      <c r="E96" s="15">
        <f t="shared" si="2"/>
        <v>1.3383022576488299E-5</v>
      </c>
      <c r="F96" s="21"/>
      <c r="G96" s="12"/>
      <c r="H96" s="1"/>
    </row>
    <row r="97" spans="3:8" x14ac:dyDescent="0.35">
      <c r="C97" s="11"/>
      <c r="D97" s="4">
        <f t="shared" si="3"/>
        <v>4.1000000000000041</v>
      </c>
      <c r="E97" s="15">
        <f t="shared" si="2"/>
        <v>8.9261657177131342E-6</v>
      </c>
      <c r="F97" s="21"/>
      <c r="G97" s="12"/>
      <c r="H97" s="1"/>
    </row>
    <row r="98" spans="3:8" ht="15" thickBot="1" x14ac:dyDescent="0.4">
      <c r="C98" s="13"/>
      <c r="D98" s="14">
        <f t="shared" si="3"/>
        <v>4.2000000000000037</v>
      </c>
      <c r="E98" s="16">
        <f t="shared" ref="E98" si="4">NORMDIST(D98,0,1,FALSE)*0.1</f>
        <v>5.8943067756538918E-6</v>
      </c>
      <c r="F98" s="22"/>
      <c r="G98" s="12"/>
      <c r="H98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36328125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36328125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Hoja1</vt:lpstr>
      <vt:lpstr>Hoja2</vt:lpstr>
      <vt:lpstr>Hoja3</vt:lpstr>
      <vt:lpstr>DT</vt:lpstr>
      <vt:lpstr>F0</vt:lpstr>
      <vt:lpstr>shift</vt:lpstr>
      <vt:lpstr>strike</vt:lpstr>
      <vt:lpstr>T</vt:lpstr>
      <vt:lpstr>volash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José Javier Calderón Coronado</cp:lastModifiedBy>
  <dcterms:created xsi:type="dcterms:W3CDTF">2017-04-28T11:02:56Z</dcterms:created>
  <dcterms:modified xsi:type="dcterms:W3CDTF">2025-01-31T14:02:22Z</dcterms:modified>
</cp:coreProperties>
</file>