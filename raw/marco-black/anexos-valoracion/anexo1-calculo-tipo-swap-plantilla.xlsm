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2025_04_Valoracion_MFC\Valoración\Documentación\Anexos. Marco Black\Anexos. Valoración. Marco Black. Ejercicios\"/>
    </mc:Choice>
  </mc:AlternateContent>
  <xr:revisionPtr revIDLastSave="0" documentId="13_ncr:1_{3658D46E-3462-4DD6-9020-F804D4BDF4C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UR3M" sheetId="2" r:id="rId1"/>
  </sheets>
  <functionGroups builtInGroupCount="19"/>
  <definedNames>
    <definedName name="deltat">EUR3M!$P$3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2" i="2" l="1"/>
  <c r="Q40" i="2"/>
  <c r="Q22" i="2"/>
  <c r="P21" i="2"/>
  <c r="Q17" i="2"/>
  <c r="P31" i="2"/>
  <c r="P47" i="2"/>
  <c r="P19" i="2"/>
  <c r="Q45" i="2"/>
  <c r="P24" i="2"/>
  <c r="P15" i="2"/>
  <c r="Q13" i="2"/>
  <c r="P10" i="2"/>
  <c r="Q42" i="2"/>
  <c r="Q14" i="2"/>
  <c r="Q29" i="2"/>
  <c r="P13" i="2"/>
  <c r="P25" i="2"/>
  <c r="Q37" i="2"/>
  <c r="P14" i="2"/>
  <c r="P43" i="2"/>
  <c r="P34" i="2"/>
  <c r="P45" i="2"/>
  <c r="P39" i="2"/>
  <c r="P22" i="2"/>
  <c r="Q31" i="2"/>
  <c r="P8" i="2"/>
  <c r="Q18" i="2"/>
  <c r="Q25" i="2"/>
  <c r="Q46" i="2"/>
  <c r="P18" i="2"/>
  <c r="Q38" i="2"/>
  <c r="Q30" i="2"/>
  <c r="P44" i="2"/>
  <c r="Q9" i="2"/>
  <c r="P40" i="2"/>
  <c r="Q8" i="2"/>
  <c r="Q15" i="2"/>
  <c r="Q34" i="2"/>
  <c r="Q20" i="2"/>
  <c r="P11" i="2"/>
  <c r="P32" i="2"/>
  <c r="Q16" i="2"/>
  <c r="Q26" i="2"/>
  <c r="Q23" i="2"/>
  <c r="P41" i="2"/>
  <c r="P26" i="2"/>
  <c r="P20" i="2"/>
  <c r="Q41" i="2"/>
  <c r="P37" i="2"/>
  <c r="P23" i="2"/>
  <c r="P46" i="2"/>
  <c r="Q24" i="2"/>
  <c r="P28" i="2"/>
  <c r="P9" i="2"/>
  <c r="Q36" i="2"/>
  <c r="Q35" i="2"/>
  <c r="P29" i="2"/>
  <c r="P33" i="2"/>
  <c r="Q11" i="2"/>
  <c r="Q48" i="2"/>
  <c r="Q10" i="2"/>
  <c r="P48" i="2"/>
  <c r="Q39" i="2"/>
  <c r="Q21" i="2"/>
  <c r="P12" i="2"/>
  <c r="Q47" i="2"/>
  <c r="P38" i="2"/>
  <c r="P35" i="2"/>
  <c r="Q33" i="2"/>
  <c r="Q43" i="2"/>
  <c r="P42" i="2"/>
  <c r="Q32" i="2"/>
  <c r="P36" i="2"/>
  <c r="Q19" i="2"/>
  <c r="Q28" i="2"/>
  <c r="P30" i="2"/>
  <c r="P17" i="2"/>
  <c r="P16" i="2"/>
  <c r="P27" i="2"/>
  <c r="Q44" i="2"/>
  <c r="Q27" i="2"/>
</calcChain>
</file>

<file path=xl/sharedStrings.xml><?xml version="1.0" encoding="utf-8"?>
<sst xmlns="http://schemas.openxmlformats.org/spreadsheetml/2006/main" count="29" uniqueCount="20">
  <si>
    <t>FECHA</t>
  </si>
  <si>
    <t>PLAZO</t>
  </si>
  <si>
    <t>VALOR</t>
  </si>
  <si>
    <t>Curva EONIA</t>
  </si>
  <si>
    <t>Curva EUR3M</t>
  </si>
  <si>
    <t>PLAZOS</t>
  </si>
  <si>
    <t>FD EUR</t>
  </si>
  <si>
    <t>FD EONIA</t>
  </si>
  <si>
    <t>delta t</t>
  </si>
  <si>
    <t>tipo swap timestral</t>
  </si>
  <si>
    <t>t0</t>
  </si>
  <si>
    <t>t1</t>
  </si>
  <si>
    <t>tn</t>
  </si>
  <si>
    <t>anualidad</t>
  </si>
  <si>
    <t>numerador</t>
  </si>
  <si>
    <t>Tiposwap</t>
  </si>
  <si>
    <t>implícitos EUR</t>
  </si>
  <si>
    <t>implícitos ESTR</t>
  </si>
  <si>
    <t>todo con EUR3M</t>
  </si>
  <si>
    <t>todo con ESTR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</si>
</sst>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C0A]d\-mmm\-yy;@"/>
    <numFmt numFmtId="165" formatCode="0.000%"/>
    <numFmt numFmtId="166" formatCode="0.00000"/>
    <numFmt numFmtId="167" formatCode="0.0000%"/>
  </numFmts>
  <fonts count="5" x14ac:knownFonts="1">
    <font>
      <sz val="11"/>
      <color theme="1"/>
      <name val="Amasis MT Pro"/>
      <family val="2"/>
      <scheme val="minor"/>
    </font>
    <font>
      <sz val="11"/>
      <color theme="1"/>
      <name val="Amasis MT Pro"/>
      <family val="2"/>
      <scheme val="minor"/>
    </font>
    <font>
      <b/>
      <sz val="11"/>
      <color theme="3"/>
      <name val="Amasis MT Pro"/>
      <family val="2"/>
      <scheme val="minor"/>
    </font>
    <font>
      <b/>
      <sz val="11"/>
      <color theme="0"/>
      <name val="Amasis MT Pro"/>
      <family val="2"/>
      <scheme val="minor"/>
    </font>
    <font>
      <sz val="11"/>
      <color theme="3"/>
      <name val="Amasis MT Pro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1" applyNumberFormat="1" applyFont="1"/>
    <xf numFmtId="167" fontId="0" fillId="0" borderId="0" xfId="1" applyNumberFormat="1" applyFont="1"/>
    <xf numFmtId="165" fontId="0" fillId="0" borderId="0" xfId="1" applyNumberFormat="1" applyFont="1" applyAlignment="1">
      <alignment horizontal="center"/>
    </xf>
    <xf numFmtId="165" fontId="0" fillId="0" borderId="0" xfId="1" applyNumberFormat="1" applyFont="1" applyFill="1" applyAlignment="1">
      <alignment horizontal="center"/>
    </xf>
    <xf numFmtId="165" fontId="0" fillId="0" borderId="0" xfId="0" applyNumberFormat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167" fontId="2" fillId="0" borderId="0" xfId="0" applyNumberFormat="1" applyFont="1"/>
    <xf numFmtId="167" fontId="2" fillId="0" borderId="0" xfId="1" applyNumberFormat="1" applyFont="1"/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166" fontId="4" fillId="0" borderId="3" xfId="0" applyNumberFormat="1" applyFont="1" applyBorder="1" applyAlignment="1">
      <alignment horizontal="center"/>
    </xf>
    <xf numFmtId="165" fontId="4" fillId="0" borderId="4" xfId="1" applyNumberFormat="1" applyFont="1" applyBorder="1" applyAlignment="1">
      <alignment horizontal="center"/>
    </xf>
    <xf numFmtId="164" fontId="4" fillId="0" borderId="5" xfId="0" applyNumberFormat="1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165" fontId="4" fillId="0" borderId="6" xfId="1" applyNumberFormat="1" applyFont="1" applyBorder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166" fontId="4" fillId="0" borderId="8" xfId="0" applyNumberFormat="1" applyFont="1" applyBorder="1" applyAlignment="1">
      <alignment horizontal="center"/>
    </xf>
    <xf numFmtId="165" fontId="4" fillId="0" borderId="9" xfId="1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390525</xdr:colOff>
      <xdr:row>0</xdr:row>
      <xdr:rowOff>180975</xdr:rowOff>
    </xdr:from>
    <xdr:to>
      <xdr:col>28</xdr:col>
      <xdr:colOff>561975</xdr:colOff>
      <xdr:row>5</xdr:row>
      <xdr:rowOff>131870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0" y="180975"/>
          <a:ext cx="5991225" cy="110342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Colores_Afi_2024">
  <a:themeElements>
    <a:clrScheme name="Afi_Paleta Pptx">
      <a:dk1>
        <a:srgbClr val="000000"/>
      </a:dk1>
      <a:lt1>
        <a:srgbClr val="FFFFFF"/>
      </a:lt1>
      <a:dk2>
        <a:srgbClr val="062C3F"/>
      </a:dk2>
      <a:lt2>
        <a:srgbClr val="F3F3F3"/>
      </a:lt2>
      <a:accent1>
        <a:srgbClr val="0085CA"/>
      </a:accent1>
      <a:accent2>
        <a:srgbClr val="C8DAE2"/>
      </a:accent2>
      <a:accent3>
        <a:srgbClr val="062C3F"/>
      </a:accent3>
      <a:accent4>
        <a:srgbClr val="0085CA"/>
      </a:accent4>
      <a:accent5>
        <a:srgbClr val="C8DAE2"/>
      </a:accent5>
      <a:accent6>
        <a:srgbClr val="F3F3F3"/>
      </a:accent6>
      <a:hlink>
        <a:srgbClr val="0085CA"/>
      </a:hlink>
      <a:folHlink>
        <a:srgbClr val="062C3F"/>
      </a:folHlink>
    </a:clrScheme>
    <a:fontScheme name="Afi">
      <a:majorFont>
        <a:latin typeface="Amasis MT Pro"/>
        <a:ea typeface=""/>
        <a:cs typeface=""/>
      </a:majorFont>
      <a:minorFont>
        <a:latin typeface="Amasis MT Pr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Tema_Afi_2024" id="{6B772454-601F-484F-9B93-12CDB0DD81FE}" vid="{8D9AA64B-FBED-4A4A-BCB4-18FC448ED8E1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C3:AF80"/>
  <sheetViews>
    <sheetView showGridLines="0" tabSelected="1" workbookViewId="0">
      <selection activeCell="G1" sqref="G1"/>
    </sheetView>
  </sheetViews>
  <sheetFormatPr defaultColWidth="9.08984375" defaultRowHeight="14.5" x14ac:dyDescent="0.35"/>
  <cols>
    <col min="3" max="3" width="14.453125" bestFit="1" customWidth="1"/>
    <col min="4" max="4" width="9.08984375" bestFit="1" customWidth="1"/>
    <col min="5" max="5" width="9.6328125" bestFit="1" customWidth="1"/>
    <col min="9" max="9" width="13.90625" bestFit="1" customWidth="1"/>
    <col min="10" max="10" width="9.08984375" bestFit="1" customWidth="1"/>
    <col min="11" max="11" width="9.6328125" bestFit="1" customWidth="1"/>
    <col min="13" max="13" width="9.08984375" customWidth="1"/>
    <col min="14" max="14" width="10.6328125" customWidth="1"/>
    <col min="15" max="15" width="9.08984375" bestFit="1" customWidth="1"/>
    <col min="16" max="16" width="9.6328125" style="1" bestFit="1" customWidth="1"/>
    <col min="17" max="17" width="10.90625" style="1" bestFit="1" customWidth="1"/>
    <col min="18" max="18" width="15.6328125" style="1" bestFit="1" customWidth="1"/>
    <col min="19" max="19" width="16.7265625" style="1" bestFit="1" customWidth="1"/>
    <col min="24" max="24" width="11.54296875" bestFit="1" customWidth="1"/>
    <col min="25" max="25" width="5.26953125" bestFit="1" customWidth="1"/>
    <col min="27" max="27" width="11.54296875" bestFit="1" customWidth="1"/>
    <col min="30" max="30" width="11.54296875" bestFit="1" customWidth="1"/>
  </cols>
  <sheetData>
    <row r="3" spans="3:32" ht="15" x14ac:dyDescent="0.4">
      <c r="O3" s="8" t="s">
        <v>8</v>
      </c>
      <c r="P3" s="1">
        <v>0.25</v>
      </c>
    </row>
    <row r="5" spans="3:32" ht="15" x14ac:dyDescent="0.4">
      <c r="C5" s="15" t="s">
        <v>4</v>
      </c>
      <c r="I5" s="15" t="s">
        <v>3</v>
      </c>
      <c r="O5" s="1"/>
    </row>
    <row r="6" spans="3:32" x14ac:dyDescent="0.35">
      <c r="O6" s="1"/>
    </row>
    <row r="7" spans="3:32" ht="15.5" thickBot="1" x14ac:dyDescent="0.45">
      <c r="C7" s="15" t="s">
        <v>0</v>
      </c>
      <c r="D7" s="15" t="s">
        <v>1</v>
      </c>
      <c r="E7" s="15" t="s">
        <v>2</v>
      </c>
      <c r="I7" s="15" t="s">
        <v>0</v>
      </c>
      <c r="J7" s="15" t="s">
        <v>1</v>
      </c>
      <c r="K7" s="15" t="s">
        <v>2</v>
      </c>
      <c r="O7" s="9" t="s">
        <v>5</v>
      </c>
      <c r="P7" s="9" t="s">
        <v>6</v>
      </c>
      <c r="Q7" s="9" t="s">
        <v>7</v>
      </c>
      <c r="R7" s="9" t="s">
        <v>16</v>
      </c>
      <c r="S7" s="9" t="s">
        <v>17</v>
      </c>
    </row>
    <row r="8" spans="3:32" x14ac:dyDescent="0.35">
      <c r="C8" s="16">
        <v>43595</v>
      </c>
      <c r="D8" s="17">
        <v>0</v>
      </c>
      <c r="E8" s="18">
        <v>1</v>
      </c>
      <c r="I8" s="16">
        <v>43595</v>
      </c>
      <c r="J8" s="17">
        <v>0</v>
      </c>
      <c r="K8" s="18">
        <v>1</v>
      </c>
      <c r="N8" s="2"/>
      <c r="O8">
        <v>0</v>
      </c>
      <c r="P8" s="5">
        <f>interpola(O8,$D$8:$E$37,1)</f>
        <v>1</v>
      </c>
      <c r="Q8" s="5">
        <f>interpola(O8,$J$8:$K$52,1)</f>
        <v>1</v>
      </c>
    </row>
    <row r="9" spans="3:32" x14ac:dyDescent="0.35">
      <c r="C9" s="19">
        <v>43598</v>
      </c>
      <c r="D9" s="20">
        <v>8.3333333333333297E-3</v>
      </c>
      <c r="E9" s="21">
        <v>1.00003604296572</v>
      </c>
      <c r="I9" s="19">
        <v>43598</v>
      </c>
      <c r="J9" s="20">
        <v>8.3333333333333297E-3</v>
      </c>
      <c r="K9" s="21">
        <v>1.00003604296572</v>
      </c>
      <c r="N9" s="2"/>
      <c r="O9">
        <v>0.25</v>
      </c>
      <c r="P9" s="5">
        <f t="shared" ref="P9:P48" si="0">interpola(O9,$D$8:$E$37,1)</f>
        <v>1.0008789046090554</v>
      </c>
      <c r="Q9" s="5">
        <f t="shared" ref="Q9:Q48" si="1">interpola(O9,$J$8:$K$52,1)</f>
        <v>1.00091494127948</v>
      </c>
      <c r="R9" s="6"/>
      <c r="S9" s="5"/>
    </row>
    <row r="10" spans="3:32" ht="15" x14ac:dyDescent="0.4">
      <c r="C10" s="19">
        <v>43599</v>
      </c>
      <c r="D10" s="20">
        <v>1.1111111111111101E-2</v>
      </c>
      <c r="E10" s="21">
        <v>1.0000479879833499</v>
      </c>
      <c r="I10" s="19">
        <v>43599</v>
      </c>
      <c r="J10" s="20">
        <v>1.1111111111111101E-2</v>
      </c>
      <c r="K10" s="21">
        <v>1.0000479879833499</v>
      </c>
      <c r="N10" s="2"/>
      <c r="O10">
        <v>0.5</v>
      </c>
      <c r="P10" s="5">
        <f t="shared" si="0"/>
        <v>1.0016581486484639</v>
      </c>
      <c r="Q10" s="5">
        <f t="shared" si="1"/>
        <v>1.0018389251857358</v>
      </c>
      <c r="R10" s="6"/>
      <c r="S10" s="5"/>
      <c r="X10" s="12" t="s">
        <v>9</v>
      </c>
      <c r="Y10" s="13"/>
    </row>
    <row r="11" spans="3:32" ht="15" x14ac:dyDescent="0.4">
      <c r="C11" s="19">
        <v>43691</v>
      </c>
      <c r="D11" s="20">
        <v>0.266666666666667</v>
      </c>
      <c r="E11" s="21">
        <v>1.0009368755364301</v>
      </c>
      <c r="I11" s="19">
        <v>43600</v>
      </c>
      <c r="J11" s="20">
        <v>1.3888888888888902E-2</v>
      </c>
      <c r="K11" s="21">
        <v>1.0000599331436599</v>
      </c>
      <c r="N11" s="2"/>
      <c r="O11">
        <v>0.75</v>
      </c>
      <c r="P11" s="5">
        <f t="shared" si="0"/>
        <v>1.00245455694868</v>
      </c>
      <c r="Q11" s="5">
        <f t="shared" si="1"/>
        <v>1.002801147150151</v>
      </c>
      <c r="R11" s="6"/>
      <c r="S11" s="5"/>
      <c r="X11" s="8" t="s">
        <v>10</v>
      </c>
      <c r="Y11">
        <v>1</v>
      </c>
    </row>
    <row r="12" spans="3:32" ht="15" x14ac:dyDescent="0.4">
      <c r="C12" s="19">
        <v>43724</v>
      </c>
      <c r="D12" s="20">
        <v>0.358333333333333</v>
      </c>
      <c r="E12" s="21">
        <v>1.0011437199158699</v>
      </c>
      <c r="I12" s="19">
        <v>43606</v>
      </c>
      <c r="J12" s="20">
        <v>3.05555555555556E-2</v>
      </c>
      <c r="K12" s="21">
        <v>1.0000930658574798</v>
      </c>
      <c r="N12" s="2"/>
      <c r="O12">
        <v>1</v>
      </c>
      <c r="P12" s="5">
        <f t="shared" si="0"/>
        <v>1.0032497617708733</v>
      </c>
      <c r="Q12" s="5">
        <f t="shared" si="1"/>
        <v>1.0037615861220202</v>
      </c>
      <c r="R12" s="6"/>
      <c r="S12" s="5"/>
      <c r="X12" s="8" t="s">
        <v>11</v>
      </c>
      <c r="Y12">
        <v>1.25</v>
      </c>
    </row>
    <row r="13" spans="3:32" ht="15" x14ac:dyDescent="0.4">
      <c r="C13" s="19">
        <v>43752</v>
      </c>
      <c r="D13" s="20">
        <v>0.43611111111111101</v>
      </c>
      <c r="E13" s="21">
        <v>1.0014354346085999</v>
      </c>
      <c r="I13" s="19">
        <v>43613</v>
      </c>
      <c r="J13" s="20">
        <v>0.05</v>
      </c>
      <c r="K13" s="21">
        <v>1.0002053511859501</v>
      </c>
      <c r="N13" s="2"/>
      <c r="O13">
        <v>1.25</v>
      </c>
      <c r="P13" s="5">
        <f t="shared" si="0"/>
        <v>1.0040118402709584</v>
      </c>
      <c r="Q13" s="5">
        <f t="shared" si="1"/>
        <v>1.0047099547737004</v>
      </c>
      <c r="R13" s="6"/>
      <c r="S13" s="5"/>
      <c r="X13" s="8" t="s">
        <v>12</v>
      </c>
      <c r="Y13">
        <v>10</v>
      </c>
    </row>
    <row r="14" spans="3:32" x14ac:dyDescent="0.35">
      <c r="C14" s="19">
        <v>43783</v>
      </c>
      <c r="D14" s="20">
        <v>0.52222222222222192</v>
      </c>
      <c r="E14" s="21">
        <v>1.00173561440146</v>
      </c>
      <c r="I14" s="19">
        <v>43620</v>
      </c>
      <c r="J14" s="20">
        <v>6.9444444444444489E-2</v>
      </c>
      <c r="K14" s="21">
        <v>1.0002217481617</v>
      </c>
      <c r="N14" s="2"/>
      <c r="O14">
        <v>1.5</v>
      </c>
      <c r="P14" s="5">
        <f t="shared" si="0"/>
        <v>1.0046594513397213</v>
      </c>
      <c r="Q14" s="5">
        <f t="shared" si="1"/>
        <v>1.0055814969439629</v>
      </c>
      <c r="R14" s="6"/>
      <c r="S14" s="5"/>
    </row>
    <row r="15" spans="3:32" x14ac:dyDescent="0.35">
      <c r="C15" s="19">
        <v>43815</v>
      </c>
      <c r="D15" s="20">
        <v>0.61111111111111094</v>
      </c>
      <c r="E15" s="21">
        <v>1.0019321150735501</v>
      </c>
      <c r="I15" s="19">
        <v>43630</v>
      </c>
      <c r="J15" s="20">
        <v>9.7222222222222196E-2</v>
      </c>
      <c r="K15" s="21">
        <v>1.0003747437768098</v>
      </c>
      <c r="N15" s="2"/>
      <c r="O15">
        <v>1.75</v>
      </c>
      <c r="P15" s="5">
        <f t="shared" si="0"/>
        <v>1.005272505830296</v>
      </c>
      <c r="Q15" s="5">
        <f t="shared" si="1"/>
        <v>1.006472890444849</v>
      </c>
      <c r="R15" s="6"/>
      <c r="S15" s="5"/>
    </row>
    <row r="16" spans="3:32" ht="15" x14ac:dyDescent="0.4">
      <c r="C16" s="19">
        <v>43844</v>
      </c>
      <c r="D16" s="20">
        <v>0.69166666666666698</v>
      </c>
      <c r="E16" s="21">
        <v>1.0022405064504101</v>
      </c>
      <c r="I16" s="19">
        <v>43661</v>
      </c>
      <c r="J16" s="20">
        <v>0.18333333333333302</v>
      </c>
      <c r="K16" s="21">
        <v>1.0006658062551599</v>
      </c>
      <c r="N16" s="2"/>
      <c r="O16">
        <v>2</v>
      </c>
      <c r="P16" s="5">
        <f t="shared" si="0"/>
        <v>1.0058855603208707</v>
      </c>
      <c r="Q16" s="5">
        <f t="shared" si="1"/>
        <v>1.0072626710763748</v>
      </c>
      <c r="R16" s="6"/>
      <c r="S16" s="5"/>
      <c r="AB16" s="14" t="s">
        <v>19</v>
      </c>
      <c r="AC16" s="14"/>
      <c r="AE16" s="14" t="s">
        <v>18</v>
      </c>
      <c r="AF16" s="14"/>
    </row>
    <row r="17" spans="3:32" ht="15" x14ac:dyDescent="0.4">
      <c r="C17" s="19">
        <v>43875</v>
      </c>
      <c r="D17" s="20">
        <v>0.77777777777777801</v>
      </c>
      <c r="E17" s="21">
        <v>1.0025564857573801</v>
      </c>
      <c r="I17" s="19">
        <v>43691</v>
      </c>
      <c r="J17" s="20">
        <v>0.266666666666667</v>
      </c>
      <c r="K17" s="21">
        <v>1.00097722503556</v>
      </c>
      <c r="N17" s="2"/>
      <c r="O17">
        <v>2.25</v>
      </c>
      <c r="P17" s="5">
        <f t="shared" si="0"/>
        <v>1.0062552146438728</v>
      </c>
      <c r="Q17" s="5">
        <f t="shared" si="1"/>
        <v>1.0078175716830842</v>
      </c>
      <c r="R17" s="6"/>
      <c r="S17" s="5"/>
      <c r="X17" s="8" t="s">
        <v>13</v>
      </c>
      <c r="Y17" s="3"/>
      <c r="AA17" s="8" t="s">
        <v>13</v>
      </c>
      <c r="AB17" s="3"/>
      <c r="AD17" s="8" t="s">
        <v>13</v>
      </c>
      <c r="AE17" s="3"/>
    </row>
    <row r="18" spans="3:32" ht="15" x14ac:dyDescent="0.4">
      <c r="C18" s="19">
        <v>43906</v>
      </c>
      <c r="D18" s="20">
        <v>0.86388888888888893</v>
      </c>
      <c r="E18" s="21">
        <v>1.0027426631832401</v>
      </c>
      <c r="I18" s="19">
        <v>43724</v>
      </c>
      <c r="J18" s="20">
        <v>0.358333333333333</v>
      </c>
      <c r="K18" s="21">
        <v>1.00131231433226</v>
      </c>
      <c r="N18" s="2"/>
      <c r="O18">
        <v>2.5</v>
      </c>
      <c r="P18" s="5">
        <f t="shared" si="0"/>
        <v>1.0065761889333602</v>
      </c>
      <c r="Q18" s="5">
        <f t="shared" si="1"/>
        <v>1.0083618049675371</v>
      </c>
      <c r="R18" s="6"/>
      <c r="S18" s="5"/>
      <c r="X18" s="8" t="s">
        <v>14</v>
      </c>
      <c r="Y18" s="4"/>
      <c r="AA18" s="8" t="s">
        <v>14</v>
      </c>
      <c r="AB18" s="4"/>
      <c r="AC18" s="7"/>
      <c r="AD18" s="8" t="s">
        <v>14</v>
      </c>
      <c r="AE18" s="4"/>
    </row>
    <row r="19" spans="3:32" ht="15" x14ac:dyDescent="0.4">
      <c r="C19" s="19">
        <v>43935</v>
      </c>
      <c r="D19" s="20">
        <v>0.94444444444444398</v>
      </c>
      <c r="E19" s="21">
        <v>1.0030460664721199</v>
      </c>
      <c r="I19" s="19">
        <v>43752</v>
      </c>
      <c r="J19" s="20">
        <v>0.43611111111111101</v>
      </c>
      <c r="K19" s="21">
        <v>1.0015978692440499</v>
      </c>
      <c r="N19" s="2"/>
      <c r="O19">
        <v>2.75</v>
      </c>
      <c r="P19" s="5">
        <f t="shared" si="0"/>
        <v>1.0068971632228476</v>
      </c>
      <c r="Q19" s="5">
        <f t="shared" si="1"/>
        <v>1.0089060382519903</v>
      </c>
      <c r="R19" s="6"/>
      <c r="S19" s="5"/>
      <c r="X19" s="8" t="s">
        <v>15</v>
      </c>
      <c r="Y19" s="10"/>
      <c r="AA19" s="8" t="s">
        <v>15</v>
      </c>
      <c r="AB19" s="11"/>
      <c r="AD19" s="8" t="s">
        <v>15</v>
      </c>
      <c r="AE19" s="11"/>
      <c r="AF19" s="4"/>
    </row>
    <row r="20" spans="3:32" x14ac:dyDescent="0.35">
      <c r="C20" s="19">
        <v>43965</v>
      </c>
      <c r="D20" s="20">
        <v>1.0277777777777799</v>
      </c>
      <c r="E20" s="21">
        <v>1.0033516094202499</v>
      </c>
      <c r="I20" s="19">
        <v>43783</v>
      </c>
      <c r="J20" s="20">
        <v>0.52222222222222192</v>
      </c>
      <c r="K20" s="21">
        <v>1.0019227707306699</v>
      </c>
      <c r="N20" s="2"/>
      <c r="O20">
        <v>3</v>
      </c>
      <c r="P20" s="5">
        <f t="shared" si="0"/>
        <v>1.0072181375123352</v>
      </c>
      <c r="Q20" s="5">
        <f t="shared" si="1"/>
        <v>1.0094502715364435</v>
      </c>
      <c r="R20" s="6"/>
      <c r="S20" s="5"/>
    </row>
    <row r="21" spans="3:32" x14ac:dyDescent="0.35">
      <c r="C21" s="19">
        <v>43997</v>
      </c>
      <c r="D21" s="20">
        <v>1.11666666666667</v>
      </c>
      <c r="E21" s="21">
        <v>1.00354173647565</v>
      </c>
      <c r="I21" s="19">
        <v>43815</v>
      </c>
      <c r="J21" s="20">
        <v>0.61111111111111094</v>
      </c>
      <c r="K21" s="21">
        <v>1.0022604517599398</v>
      </c>
      <c r="N21" s="2"/>
      <c r="O21">
        <v>3.25</v>
      </c>
      <c r="P21" s="5">
        <f t="shared" si="0"/>
        <v>1.0071790636246245</v>
      </c>
      <c r="Q21" s="5">
        <f t="shared" si="1"/>
        <v>1.0096956114177316</v>
      </c>
      <c r="R21" s="6"/>
      <c r="S21" s="5"/>
    </row>
    <row r="22" spans="3:32" x14ac:dyDescent="0.35">
      <c r="C22" s="19">
        <v>44026</v>
      </c>
      <c r="D22" s="20">
        <v>1.19722222222222</v>
      </c>
      <c r="E22" s="21">
        <v>1.00382770307415</v>
      </c>
      <c r="I22" s="19">
        <v>43844</v>
      </c>
      <c r="J22" s="20">
        <v>0.69166666666666698</v>
      </c>
      <c r="K22" s="21">
        <v>1.0025730000681299</v>
      </c>
      <c r="N22" s="2"/>
      <c r="O22">
        <v>3.5</v>
      </c>
      <c r="P22" s="5">
        <f t="shared" si="0"/>
        <v>1.0070235035619379</v>
      </c>
      <c r="Q22" s="5">
        <f t="shared" si="1"/>
        <v>1.0098442504921132</v>
      </c>
      <c r="R22" s="6"/>
      <c r="S22" s="5"/>
    </row>
    <row r="23" spans="3:32" x14ac:dyDescent="0.35">
      <c r="C23" s="19">
        <v>44057</v>
      </c>
      <c r="D23" s="20">
        <v>1.2833333333333299</v>
      </c>
      <c r="E23" s="21">
        <v>1.0041281374478899</v>
      </c>
      <c r="I23" s="19">
        <v>43875</v>
      </c>
      <c r="J23" s="20">
        <v>0.77777777777777801</v>
      </c>
      <c r="K23" s="21">
        <v>1.00290978861778</v>
      </c>
      <c r="N23" s="2"/>
      <c r="O23">
        <v>3.75</v>
      </c>
      <c r="P23" s="5">
        <f t="shared" si="0"/>
        <v>1.0068679434992516</v>
      </c>
      <c r="Q23" s="5">
        <f t="shared" si="1"/>
        <v>1.0099928895664947</v>
      </c>
      <c r="R23" s="6"/>
      <c r="S23" s="5"/>
    </row>
    <row r="24" spans="3:32" x14ac:dyDescent="0.35">
      <c r="C24" s="19">
        <v>44330</v>
      </c>
      <c r="D24" s="20">
        <v>2.0416666666666701</v>
      </c>
      <c r="E24" s="21">
        <v>1.0059877360692999</v>
      </c>
      <c r="I24" s="19">
        <v>43906</v>
      </c>
      <c r="J24" s="20">
        <v>0.86388888888888893</v>
      </c>
      <c r="K24" s="21">
        <v>1.0032464004775998</v>
      </c>
      <c r="N24" s="2"/>
      <c r="O24">
        <v>4</v>
      </c>
      <c r="P24" s="5">
        <f t="shared" si="0"/>
        <v>1.006712383436565</v>
      </c>
      <c r="Q24" s="5">
        <f t="shared" si="1"/>
        <v>1.0101415286408764</v>
      </c>
      <c r="R24" s="6"/>
      <c r="S24" s="5"/>
    </row>
    <row r="25" spans="3:32" x14ac:dyDescent="0.35">
      <c r="C25" s="19">
        <v>44697</v>
      </c>
      <c r="D25" s="20">
        <v>3.06111111111111</v>
      </c>
      <c r="E25" s="21">
        <v>1.0072965978942099</v>
      </c>
      <c r="I25" s="19">
        <v>43935</v>
      </c>
      <c r="J25" s="20">
        <v>0.94444444444444398</v>
      </c>
      <c r="K25" s="21">
        <v>1.00356029405766</v>
      </c>
      <c r="N25" s="2"/>
      <c r="O25">
        <v>4.25</v>
      </c>
      <c r="P25" s="5">
        <f t="shared" si="0"/>
        <v>1.0061974218372334</v>
      </c>
      <c r="Q25" s="5">
        <f t="shared" si="1"/>
        <v>1.0099038052632145</v>
      </c>
      <c r="R25" s="6"/>
      <c r="S25" s="5"/>
    </row>
    <row r="26" spans="3:32" x14ac:dyDescent="0.35">
      <c r="C26" s="19">
        <v>45061</v>
      </c>
      <c r="D26" s="20">
        <v>4.0722222222222202</v>
      </c>
      <c r="E26" s="21">
        <v>1.0066674438629</v>
      </c>
      <c r="I26" s="19">
        <v>43965</v>
      </c>
      <c r="J26" s="20">
        <v>1.0277777777777799</v>
      </c>
      <c r="K26" s="21">
        <v>1.0038622321542001</v>
      </c>
      <c r="O26">
        <v>4.5</v>
      </c>
      <c r="P26" s="5">
        <f t="shared" si="0"/>
        <v>1.0055364533636397</v>
      </c>
      <c r="Q26" s="5">
        <f t="shared" si="1"/>
        <v>1.0095091221394097</v>
      </c>
      <c r="R26" s="6"/>
      <c r="S26" s="5"/>
    </row>
    <row r="27" spans="3:32" x14ac:dyDescent="0.35">
      <c r="C27" s="19">
        <v>45426</v>
      </c>
      <c r="D27" s="20">
        <v>5.0861111111111095</v>
      </c>
      <c r="E27" s="21">
        <v>1.00398684949777</v>
      </c>
      <c r="I27" s="19">
        <v>43997</v>
      </c>
      <c r="J27" s="20">
        <v>1.11666666666667</v>
      </c>
      <c r="K27" s="21">
        <v>1.0042173942056598</v>
      </c>
      <c r="O27">
        <v>4.75</v>
      </c>
      <c r="P27" s="5">
        <f t="shared" si="0"/>
        <v>1.0048754848900459</v>
      </c>
      <c r="Q27" s="5">
        <f t="shared" si="1"/>
        <v>1.009114439015605</v>
      </c>
      <c r="R27" s="6"/>
      <c r="S27" s="5"/>
    </row>
    <row r="28" spans="3:32" x14ac:dyDescent="0.35">
      <c r="C28" s="19">
        <v>45791</v>
      </c>
      <c r="D28" s="20">
        <v>6.1000000000000005</v>
      </c>
      <c r="E28" s="21">
        <v>0.99911432745958206</v>
      </c>
      <c r="I28" s="19">
        <v>44026</v>
      </c>
      <c r="J28" s="20">
        <v>1.19722222222222</v>
      </c>
      <c r="K28" s="21">
        <v>1.00449981275864</v>
      </c>
      <c r="O28">
        <v>5</v>
      </c>
      <c r="P28" s="5">
        <f t="shared" si="0"/>
        <v>1.0042145164164522</v>
      </c>
      <c r="Q28" s="5">
        <f t="shared" si="1"/>
        <v>1.0087197558918004</v>
      </c>
      <c r="R28" s="6"/>
      <c r="S28" s="5"/>
    </row>
    <row r="29" spans="3:32" x14ac:dyDescent="0.35">
      <c r="C29" s="19">
        <v>46156</v>
      </c>
      <c r="D29" s="20">
        <v>7.1138888888888889</v>
      </c>
      <c r="E29" s="21">
        <v>0.99215899141500008</v>
      </c>
      <c r="I29" s="19">
        <v>44057</v>
      </c>
      <c r="J29" s="20">
        <v>1.2833333333333299</v>
      </c>
      <c r="K29" s="21">
        <v>1.00484267604637</v>
      </c>
      <c r="O29">
        <v>5.25</v>
      </c>
      <c r="P29" s="5">
        <f t="shared" si="0"/>
        <v>1.0031992363463915</v>
      </c>
      <c r="Q29" s="5">
        <f t="shared" si="1"/>
        <v>1.0079841952584416</v>
      </c>
      <c r="R29" s="6"/>
      <c r="S29" s="5"/>
    </row>
    <row r="30" spans="3:32" x14ac:dyDescent="0.35">
      <c r="C30" s="19">
        <v>46521</v>
      </c>
      <c r="D30" s="20">
        <v>8.12777777777778</v>
      </c>
      <c r="E30" s="21">
        <v>0.98313558032938897</v>
      </c>
      <c r="I30" s="19">
        <v>44088</v>
      </c>
      <c r="J30" s="20">
        <v>1.3694444444444398</v>
      </c>
      <c r="K30" s="21">
        <v>1.0051308837467199</v>
      </c>
      <c r="O30">
        <v>5.5</v>
      </c>
      <c r="P30" s="5">
        <f t="shared" si="0"/>
        <v>1.0019977925561536</v>
      </c>
      <c r="Q30" s="5">
        <f t="shared" si="1"/>
        <v>1.0070695294929441</v>
      </c>
      <c r="R30" s="6"/>
      <c r="S30" s="5"/>
    </row>
    <row r="31" spans="3:32" x14ac:dyDescent="0.35">
      <c r="C31" s="19">
        <v>46888</v>
      </c>
      <c r="D31" s="20">
        <v>9.1472222222222186</v>
      </c>
      <c r="E31" s="21">
        <v>0.97231271966037591</v>
      </c>
      <c r="I31" s="19">
        <v>44118</v>
      </c>
      <c r="J31" s="20">
        <v>1.4527777777777799</v>
      </c>
      <c r="K31" s="21">
        <v>1.0054240892807598</v>
      </c>
      <c r="O31">
        <v>5.75</v>
      </c>
      <c r="P31" s="5">
        <f t="shared" si="0"/>
        <v>1.0007963487659155</v>
      </c>
      <c r="Q31" s="5">
        <f t="shared" si="1"/>
        <v>1.0061548637274464</v>
      </c>
      <c r="R31" s="6"/>
      <c r="S31" s="5"/>
    </row>
    <row r="32" spans="3:32" x14ac:dyDescent="0.35">
      <c r="C32" s="19">
        <v>47252</v>
      </c>
      <c r="D32" s="20">
        <v>10.158333333333299</v>
      </c>
      <c r="E32" s="21">
        <v>0.96017993213179498</v>
      </c>
      <c r="I32" s="19">
        <v>44151</v>
      </c>
      <c r="J32" s="20">
        <v>1.5444444444444398</v>
      </c>
      <c r="K32" s="21">
        <v>1.0057296453328599</v>
      </c>
      <c r="O32">
        <v>6</v>
      </c>
      <c r="P32" s="5">
        <f t="shared" si="0"/>
        <v>0.99959490497567727</v>
      </c>
      <c r="Q32" s="5">
        <f t="shared" si="1"/>
        <v>1.005240197961949</v>
      </c>
      <c r="R32" s="6"/>
      <c r="S32" s="5"/>
    </row>
    <row r="33" spans="3:19" x14ac:dyDescent="0.35">
      <c r="C33" s="19">
        <v>47982</v>
      </c>
      <c r="D33" s="20">
        <v>12.186111111111098</v>
      </c>
      <c r="E33" s="21">
        <v>0.93303730931700202</v>
      </c>
      <c r="I33" s="19">
        <v>44179</v>
      </c>
      <c r="J33" s="20">
        <v>1.6222222222222198</v>
      </c>
      <c r="K33" s="21">
        <v>1.00602924371726</v>
      </c>
      <c r="O33">
        <v>6.25</v>
      </c>
      <c r="P33" s="5">
        <f t="shared" si="0"/>
        <v>0.99808531883928775</v>
      </c>
      <c r="Q33" s="5">
        <f t="shared" si="1"/>
        <v>1.0039772360894175</v>
      </c>
      <c r="R33" s="6"/>
      <c r="S33" s="5"/>
    </row>
    <row r="34" spans="3:19" x14ac:dyDescent="0.35">
      <c r="C34" s="19">
        <v>49079</v>
      </c>
      <c r="D34" s="20">
        <v>15.233333333333301</v>
      </c>
      <c r="E34" s="21">
        <v>0.88972056135600697</v>
      </c>
      <c r="I34" s="19">
        <v>44210</v>
      </c>
      <c r="J34" s="20">
        <v>1.7083333333333299</v>
      </c>
      <c r="K34" s="21">
        <v>1.0063321351877601</v>
      </c>
      <c r="O34">
        <v>6.5</v>
      </c>
      <c r="P34" s="5">
        <f t="shared" si="0"/>
        <v>0.9963703044721306</v>
      </c>
      <c r="Q34" s="5">
        <f t="shared" si="1"/>
        <v>1.0024820768121969</v>
      </c>
      <c r="R34" s="6"/>
      <c r="S34" s="5"/>
    </row>
    <row r="35" spans="3:19" x14ac:dyDescent="0.35">
      <c r="C35" s="19">
        <v>50906</v>
      </c>
      <c r="D35" s="20">
        <v>20.308333333333298</v>
      </c>
      <c r="E35" s="21">
        <v>0.82329348324940099</v>
      </c>
      <c r="I35" s="19">
        <v>44242</v>
      </c>
      <c r="J35" s="20">
        <v>1.7972222222222198</v>
      </c>
      <c r="K35" s="21">
        <v>1.0066324130695499</v>
      </c>
      <c r="O35">
        <v>6.75</v>
      </c>
      <c r="P35" s="5">
        <f t="shared" si="0"/>
        <v>0.99465529010497333</v>
      </c>
      <c r="Q35" s="5">
        <f t="shared" si="1"/>
        <v>1.0009869175349762</v>
      </c>
      <c r="R35" s="6"/>
      <c r="S35" s="5"/>
    </row>
    <row r="36" spans="3:19" x14ac:dyDescent="0.35">
      <c r="C36" s="19">
        <v>52733</v>
      </c>
      <c r="D36" s="20">
        <v>25.383333333333301</v>
      </c>
      <c r="E36" s="21">
        <v>0.77011001997822903</v>
      </c>
      <c r="I36" s="19">
        <v>44270</v>
      </c>
      <c r="J36" s="20">
        <v>1.875</v>
      </c>
      <c r="K36" s="21">
        <v>1.00689443100266</v>
      </c>
      <c r="O36">
        <v>7</v>
      </c>
      <c r="P36" s="5">
        <f t="shared" si="0"/>
        <v>0.99294027573781618</v>
      </c>
      <c r="Q36" s="5">
        <f t="shared" si="1"/>
        <v>0.99949175825775538</v>
      </c>
      <c r="R36" s="6"/>
      <c r="S36" s="5"/>
    </row>
    <row r="37" spans="3:19" ht="15" thickBot="1" x14ac:dyDescent="0.4">
      <c r="C37" s="22">
        <v>54557</v>
      </c>
      <c r="D37" s="23">
        <v>30.45</v>
      </c>
      <c r="E37" s="24">
        <v>0.72693864244265705</v>
      </c>
      <c r="I37" s="19">
        <v>44300</v>
      </c>
      <c r="J37" s="20">
        <v>1.9583333333333299</v>
      </c>
      <c r="K37" s="21">
        <v>1.00716129820671</v>
      </c>
      <c r="O37">
        <v>7.25</v>
      </c>
      <c r="P37" s="5">
        <f t="shared" si="0"/>
        <v>0.9909476293788495</v>
      </c>
      <c r="Q37" s="5">
        <f t="shared" si="1"/>
        <v>0.99773159121108523</v>
      </c>
      <c r="R37" s="6"/>
      <c r="S37" s="5"/>
    </row>
    <row r="38" spans="3:19" x14ac:dyDescent="0.35">
      <c r="I38" s="19">
        <v>44330</v>
      </c>
      <c r="J38" s="20">
        <v>2.0416666666666701</v>
      </c>
      <c r="K38" s="21">
        <v>1.0073640439460398</v>
      </c>
      <c r="O38">
        <v>7.5</v>
      </c>
      <c r="P38" s="5">
        <f t="shared" si="0"/>
        <v>0.98872267870020569</v>
      </c>
      <c r="Q38" s="5">
        <f t="shared" si="1"/>
        <v>0.99574968296956989</v>
      </c>
      <c r="R38" s="6"/>
      <c r="S38" s="5"/>
    </row>
    <row r="39" spans="3:19" x14ac:dyDescent="0.35">
      <c r="I39" s="19">
        <v>44697</v>
      </c>
      <c r="J39" s="20">
        <v>3.06111111111111</v>
      </c>
      <c r="K39" s="21">
        <v>1.0095833063393098</v>
      </c>
      <c r="O39">
        <v>7.75</v>
      </c>
      <c r="P39" s="5">
        <f t="shared" si="0"/>
        <v>0.98649772802156188</v>
      </c>
      <c r="Q39" s="5">
        <f t="shared" si="1"/>
        <v>0.99376777472805455</v>
      </c>
      <c r="R39" s="6"/>
      <c r="S39" s="5"/>
    </row>
    <row r="40" spans="3:19" x14ac:dyDescent="0.35">
      <c r="I40" s="19">
        <v>45061</v>
      </c>
      <c r="J40" s="20">
        <v>4.0722222222222202</v>
      </c>
      <c r="K40" s="21">
        <v>1.01018446881792</v>
      </c>
      <c r="O40">
        <v>8</v>
      </c>
      <c r="P40" s="5">
        <f t="shared" si="0"/>
        <v>0.98427277734291807</v>
      </c>
      <c r="Q40" s="5">
        <f t="shared" si="1"/>
        <v>0.99178586648653921</v>
      </c>
      <c r="R40" s="6"/>
      <c r="S40" s="5"/>
    </row>
    <row r="41" spans="3:19" x14ac:dyDescent="0.35">
      <c r="I41" s="19">
        <v>45426</v>
      </c>
      <c r="J41" s="20">
        <v>5.0861111111111095</v>
      </c>
      <c r="K41" s="21">
        <v>1.0085838094824899</v>
      </c>
      <c r="O41">
        <v>8.25</v>
      </c>
      <c r="P41" s="5">
        <f t="shared" si="0"/>
        <v>0.98183801665245007</v>
      </c>
      <c r="Q41" s="5">
        <f t="shared" si="1"/>
        <v>0.9896330385312524</v>
      </c>
      <c r="R41" s="6"/>
      <c r="S41" s="5"/>
    </row>
    <row r="42" spans="3:19" x14ac:dyDescent="0.35">
      <c r="I42" s="19">
        <v>45791</v>
      </c>
      <c r="J42" s="20">
        <v>6.1000000000000005</v>
      </c>
      <c r="K42" s="21">
        <v>1.00487433165575</v>
      </c>
      <c r="O42">
        <v>8.5</v>
      </c>
      <c r="P42" s="5">
        <f t="shared" si="0"/>
        <v>0.97918390913143871</v>
      </c>
      <c r="Q42" s="5">
        <f t="shared" si="1"/>
        <v>0.98730152178429531</v>
      </c>
      <c r="R42" s="6"/>
      <c r="S42" s="5"/>
    </row>
    <row r="43" spans="3:19" x14ac:dyDescent="0.35">
      <c r="I43" s="19">
        <v>46156</v>
      </c>
      <c r="J43" s="20">
        <v>7.1138888888888889</v>
      </c>
      <c r="K43" s="21">
        <v>0.99881063014257698</v>
      </c>
      <c r="O43">
        <v>8.75</v>
      </c>
      <c r="P43" s="5">
        <f t="shared" si="0"/>
        <v>0.97652980161042735</v>
      </c>
      <c r="Q43" s="5">
        <f t="shared" si="1"/>
        <v>0.98497000503733834</v>
      </c>
      <c r="R43" s="6"/>
      <c r="S43" s="5"/>
    </row>
    <row r="44" spans="3:19" x14ac:dyDescent="0.35">
      <c r="I44" s="19">
        <v>46521</v>
      </c>
      <c r="J44" s="20">
        <v>8.12777777777778</v>
      </c>
      <c r="K44" s="21">
        <v>0.99077289116309797</v>
      </c>
      <c r="O44">
        <v>9</v>
      </c>
      <c r="P44" s="5">
        <f t="shared" si="0"/>
        <v>0.97387569408941588</v>
      </c>
      <c r="Q44" s="5">
        <f t="shared" si="1"/>
        <v>0.98263848829038136</v>
      </c>
      <c r="R44" s="6"/>
      <c r="S44" s="5"/>
    </row>
    <row r="45" spans="3:19" x14ac:dyDescent="0.35">
      <c r="I45" s="19">
        <v>46888</v>
      </c>
      <c r="J45" s="20">
        <v>9.1472222222222186</v>
      </c>
      <c r="K45" s="21">
        <v>0.98126548398384006</v>
      </c>
      <c r="O45">
        <v>9.25</v>
      </c>
      <c r="P45" s="5">
        <f t="shared" si="0"/>
        <v>0.97107944180719585</v>
      </c>
      <c r="Q45" s="5">
        <f t="shared" si="1"/>
        <v>0.98008120442898605</v>
      </c>
      <c r="R45" s="6"/>
      <c r="S45" s="5"/>
    </row>
    <row r="46" spans="3:19" x14ac:dyDescent="0.35">
      <c r="I46" s="19">
        <v>47252</v>
      </c>
      <c r="J46" s="20">
        <v>10.158333333333299</v>
      </c>
      <c r="K46" s="21">
        <v>0.96961473376852003</v>
      </c>
      <c r="O46">
        <v>9.5</v>
      </c>
      <c r="P46" s="5">
        <f t="shared" si="0"/>
        <v>0.96807957675892031</v>
      </c>
      <c r="Q46" s="5">
        <f t="shared" si="1"/>
        <v>0.9772005244306925</v>
      </c>
      <c r="R46" s="6"/>
      <c r="S46" s="5"/>
    </row>
    <row r="47" spans="3:19" x14ac:dyDescent="0.35">
      <c r="I47" s="19">
        <v>47617</v>
      </c>
      <c r="J47" s="20">
        <v>11.172222222222199</v>
      </c>
      <c r="K47" s="21">
        <v>0.95726669967219402</v>
      </c>
      <c r="O47">
        <v>9.75</v>
      </c>
      <c r="P47" s="5">
        <f t="shared" si="0"/>
        <v>0.96507971171064466</v>
      </c>
      <c r="Q47" s="5">
        <f t="shared" si="1"/>
        <v>0.97431984443239905</v>
      </c>
      <c r="R47" s="6"/>
      <c r="S47" s="5"/>
    </row>
    <row r="48" spans="3:19" x14ac:dyDescent="0.35">
      <c r="I48" s="19">
        <v>47982</v>
      </c>
      <c r="J48" s="20">
        <v>12.186111111111098</v>
      </c>
      <c r="K48" s="21">
        <v>0.94411337147492702</v>
      </c>
      <c r="O48">
        <v>10</v>
      </c>
      <c r="P48" s="5">
        <f t="shared" si="0"/>
        <v>0.96207984666236912</v>
      </c>
      <c r="Q48" s="5">
        <f t="shared" si="1"/>
        <v>0.9714391644341055</v>
      </c>
      <c r="R48" s="6"/>
      <c r="S48" s="5"/>
    </row>
    <row r="49" spans="9:18" x14ac:dyDescent="0.35">
      <c r="I49" s="19">
        <v>49079</v>
      </c>
      <c r="J49" s="20">
        <v>15.233333333333301</v>
      </c>
      <c r="K49" s="21">
        <v>0.903411175120583</v>
      </c>
      <c r="R49" s="6"/>
    </row>
    <row r="50" spans="9:18" x14ac:dyDescent="0.35">
      <c r="I50" s="19">
        <v>50906</v>
      </c>
      <c r="J50" s="20">
        <v>20.308333333333298</v>
      </c>
      <c r="K50" s="21">
        <v>0.83922187497739009</v>
      </c>
      <c r="R50" s="6"/>
    </row>
    <row r="51" spans="9:18" x14ac:dyDescent="0.35">
      <c r="I51" s="19">
        <v>52733</v>
      </c>
      <c r="J51" s="20">
        <v>25.383333333333301</v>
      </c>
      <c r="K51" s="21">
        <v>0.78818025339035702</v>
      </c>
      <c r="R51" s="6"/>
    </row>
    <row r="52" spans="9:18" ht="15" thickBot="1" x14ac:dyDescent="0.4">
      <c r="I52" s="22">
        <v>54557</v>
      </c>
      <c r="J52" s="23">
        <v>30.45</v>
      </c>
      <c r="K52" s="24">
        <v>0.74646648293197204</v>
      </c>
      <c r="R52" s="6"/>
    </row>
    <row r="53" spans="9:18" x14ac:dyDescent="0.35">
      <c r="R53" s="6"/>
    </row>
    <row r="54" spans="9:18" x14ac:dyDescent="0.35">
      <c r="R54" s="6"/>
    </row>
    <row r="55" spans="9:18" x14ac:dyDescent="0.35">
      <c r="R55" s="6"/>
    </row>
    <row r="56" spans="9:18" x14ac:dyDescent="0.35">
      <c r="R56" s="6"/>
    </row>
    <row r="57" spans="9:18" x14ac:dyDescent="0.35">
      <c r="R57" s="6"/>
    </row>
    <row r="58" spans="9:18" x14ac:dyDescent="0.35">
      <c r="R58" s="6"/>
    </row>
    <row r="59" spans="9:18" x14ac:dyDescent="0.35">
      <c r="R59" s="6"/>
    </row>
    <row r="60" spans="9:18" x14ac:dyDescent="0.35">
      <c r="R60" s="6"/>
    </row>
    <row r="61" spans="9:18" x14ac:dyDescent="0.35">
      <c r="R61" s="6"/>
    </row>
    <row r="62" spans="9:18" x14ac:dyDescent="0.35">
      <c r="R62" s="6"/>
    </row>
    <row r="63" spans="9:18" x14ac:dyDescent="0.35">
      <c r="R63" s="6"/>
    </row>
    <row r="64" spans="9:18" x14ac:dyDescent="0.35">
      <c r="R64" s="6"/>
    </row>
    <row r="65" spans="18:18" x14ac:dyDescent="0.35">
      <c r="R65" s="6"/>
    </row>
    <row r="66" spans="18:18" x14ac:dyDescent="0.35">
      <c r="R66" s="6"/>
    </row>
    <row r="67" spans="18:18" x14ac:dyDescent="0.35">
      <c r="R67" s="6"/>
    </row>
    <row r="68" spans="18:18" x14ac:dyDescent="0.35">
      <c r="R68" s="6"/>
    </row>
    <row r="69" spans="18:18" x14ac:dyDescent="0.35">
      <c r="R69" s="6"/>
    </row>
    <row r="70" spans="18:18" x14ac:dyDescent="0.35">
      <c r="R70" s="6"/>
    </row>
    <row r="71" spans="18:18" x14ac:dyDescent="0.35">
      <c r="R71" s="6"/>
    </row>
    <row r="72" spans="18:18" x14ac:dyDescent="0.35">
      <c r="R72" s="6"/>
    </row>
    <row r="73" spans="18:18" x14ac:dyDescent="0.35">
      <c r="R73" s="6"/>
    </row>
    <row r="74" spans="18:18" x14ac:dyDescent="0.35">
      <c r="R74" s="6"/>
    </row>
    <row r="75" spans="18:18" x14ac:dyDescent="0.35">
      <c r="R75" s="6"/>
    </row>
    <row r="76" spans="18:18" x14ac:dyDescent="0.35">
      <c r="R76" s="6"/>
    </row>
    <row r="77" spans="18:18" x14ac:dyDescent="0.35">
      <c r="R77" s="6"/>
    </row>
    <row r="78" spans="18:18" x14ac:dyDescent="0.35">
      <c r="R78" s="6"/>
    </row>
    <row r="79" spans="18:18" x14ac:dyDescent="0.35">
      <c r="R79" s="6"/>
    </row>
    <row r="80" spans="18:18" x14ac:dyDescent="0.35">
      <c r="R80" s="6"/>
    </row>
  </sheetData>
  <mergeCells count="3">
    <mergeCell ref="X10:Y10"/>
    <mergeCell ref="AB16:AC16"/>
    <mergeCell ref="AE16:AF1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EUR3M</vt:lpstr>
      <vt:lpstr>deltat</vt:lpstr>
    </vt:vector>
  </TitlesOfParts>
  <Company>Analistas Financieros Internacionales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José Javier Calderón Coronado</cp:lastModifiedBy>
  <dcterms:created xsi:type="dcterms:W3CDTF">2019-05-16T11:32:29Z</dcterms:created>
  <dcterms:modified xsi:type="dcterms:W3CDTF">2025-04-07T03:56:52Z</dcterms:modified>
</cp:coreProperties>
</file>