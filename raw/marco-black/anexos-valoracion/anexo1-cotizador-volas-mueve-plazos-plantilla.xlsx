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2_Valoracion_LK\Valoración\Documentación\Anexos. Marco Black\Anexos. Valoración. Marco Black. Ejercicios\"/>
    </mc:Choice>
  </mc:AlternateContent>
  <xr:revisionPtr revIDLastSave="0" documentId="13_ncr:1_{25F68DEE-6EB9-4124-865E-DD8EA9B21A80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heet1" sheetId="1" r:id="rId1"/>
  </sheets>
  <definedNames>
    <definedName name="deltat">Sheet1!$B$7</definedName>
    <definedName name="K">Sheet1!$J$6</definedName>
    <definedName name="Nom">Sheet1!$J$5</definedName>
    <definedName name="shift">Sheet1!$M$4</definedName>
    <definedName name="solver_adj" localSheetId="0" hidden="1">Sheet1!$L$8:$L$18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100000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Sheet1!$T$19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E8" i="1"/>
  <c r="I8" i="1" s="1"/>
  <c r="E9" i="1"/>
  <c r="I9" i="1" s="1"/>
  <c r="E10" i="1"/>
  <c r="E11" i="1"/>
  <c r="E12" i="1"/>
  <c r="I12" i="1" s="1"/>
  <c r="E13" i="1"/>
  <c r="I13" i="1" s="1"/>
  <c r="E14" i="1"/>
  <c r="I14" i="1" s="1"/>
  <c r="E15" i="1"/>
  <c r="E16" i="1"/>
  <c r="I16" i="1" s="1"/>
  <c r="E17" i="1"/>
  <c r="I17" i="1" s="1"/>
  <c r="E18" i="1"/>
  <c r="I18" i="1" s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7" i="1"/>
  <c r="I15" i="1" l="1"/>
  <c r="I11" i="1"/>
</calcChain>
</file>

<file path=xl/sharedStrings.xml><?xml version="1.0" encoding="utf-8"?>
<sst xmlns="http://schemas.openxmlformats.org/spreadsheetml/2006/main" count="29" uniqueCount="25">
  <si>
    <t>FECHA</t>
  </si>
  <si>
    <t>PLAZO</t>
  </si>
  <si>
    <t>tipos fwd</t>
  </si>
  <si>
    <t>descuentos</t>
  </si>
  <si>
    <t>precios caplets ATM</t>
  </si>
  <si>
    <t>strike</t>
  </si>
  <si>
    <t>nominal</t>
  </si>
  <si>
    <t>volas shifted</t>
  </si>
  <si>
    <t>shift</t>
  </si>
  <si>
    <t>moneyness</t>
  </si>
  <si>
    <t>vola acum</t>
  </si>
  <si>
    <t>d+</t>
  </si>
  <si>
    <t>d-</t>
  </si>
  <si>
    <t>Phi(d+)</t>
  </si>
  <si>
    <t>Phi(d-)</t>
  </si>
  <si>
    <t>dif</t>
  </si>
  <si>
    <t>primas</t>
  </si>
  <si>
    <t>deltat</t>
  </si>
  <si>
    <t>volas normales</t>
  </si>
  <si>
    <t>d</t>
  </si>
  <si>
    <t>Phi(d)</t>
  </si>
  <si>
    <t>phi(d)</t>
  </si>
  <si>
    <t>deltas</t>
  </si>
  <si>
    <t>precios</t>
  </si>
  <si>
    <t>fecha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</si>
</sst>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[$-C0A]d\-mmm\-yy;@"/>
    <numFmt numFmtId="165" formatCode="0.000%"/>
    <numFmt numFmtId="166" formatCode="0.0000%"/>
    <numFmt numFmtId="167" formatCode="_-* #,##0.000\ &quot;€&quot;_-;\-* #,##0.000\ &quot;€&quot;_-;_-* &quot;-&quot;??\ &quot;€&quot;_-;_-@_-"/>
    <numFmt numFmtId="168" formatCode="_-* #,##0.0000\ &quot;€&quot;_-;\-* #,##0.0000\ &quot;€&quot;_-;_-* &quot;-&quot;??\ &quot;€&quot;_-;_-@_-"/>
    <numFmt numFmtId="169" formatCode="0.00000"/>
    <numFmt numFmtId="170" formatCode="0.0000"/>
  </numFmts>
  <fonts count="9" x14ac:knownFonts="1">
    <font>
      <sz val="11"/>
      <color theme="1"/>
      <name val="Amasis MT Pro"/>
      <family val="2"/>
      <scheme val="minor"/>
    </font>
    <font>
      <sz val="14"/>
      <color theme="5" tint="-0.249977111117893"/>
      <name val="Amasis MT Pro"/>
      <family val="2"/>
      <scheme val="minor"/>
    </font>
    <font>
      <sz val="11"/>
      <color theme="5" tint="-0.249977111117893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i/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sz val="11"/>
      <color theme="0"/>
      <name val="Amasis MT Pro"/>
      <family val="2"/>
      <scheme val="minor"/>
    </font>
    <font>
      <b/>
      <i/>
      <sz val="11"/>
      <color theme="0"/>
      <name val="Amasis MT Pro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1" xfId="0" applyNumberFormat="1" applyBorder="1"/>
    <xf numFmtId="10" fontId="0" fillId="0" borderId="3" xfId="2" applyNumberFormat="1" applyFont="1" applyBorder="1" applyAlignment="1">
      <alignment horizontal="center"/>
    </xf>
    <xf numFmtId="164" fontId="0" fillId="0" borderId="5" xfId="0" applyNumberFormat="1" applyBorder="1"/>
    <xf numFmtId="10" fontId="0" fillId="0" borderId="6" xfId="2" applyNumberFormat="1" applyFont="1" applyBorder="1" applyAlignment="1">
      <alignment horizontal="center"/>
    </xf>
    <xf numFmtId="164" fontId="0" fillId="0" borderId="7" xfId="0" applyNumberFormat="1" applyBorder="1"/>
    <xf numFmtId="10" fontId="0" fillId="0" borderId="9" xfId="2" applyNumberFormat="1" applyFont="1" applyBorder="1" applyAlignment="1">
      <alignment horizontal="center"/>
    </xf>
    <xf numFmtId="166" fontId="0" fillId="0" borderId="11" xfId="2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2" applyNumberFormat="1" applyFon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0" applyNumberFormat="1"/>
    <xf numFmtId="10" fontId="0" fillId="0" borderId="0" xfId="0" applyNumberFormat="1" applyAlignment="1">
      <alignment horizontal="center"/>
    </xf>
    <xf numFmtId="44" fontId="0" fillId="0" borderId="4" xfId="1" applyFont="1" applyBorder="1" applyAlignment="1">
      <alignment horizontal="center"/>
    </xf>
    <xf numFmtId="167" fontId="0" fillId="0" borderId="0" xfId="1" applyNumberFormat="1" applyFont="1"/>
    <xf numFmtId="166" fontId="0" fillId="0" borderId="1" xfId="2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9" fontId="0" fillId="4" borderId="0" xfId="0" applyNumberFormat="1" applyFill="1"/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170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68" fontId="0" fillId="5" borderId="0" xfId="1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167" fontId="6" fillId="7" borderId="3" xfId="1" applyNumberFormat="1" applyFont="1" applyFill="1" applyBorder="1" applyAlignment="1">
      <alignment horizontal="center"/>
    </xf>
    <xf numFmtId="167" fontId="6" fillId="7" borderId="6" xfId="1" applyNumberFormat="1" applyFont="1" applyFill="1" applyBorder="1" applyAlignment="1">
      <alignment horizontal="center"/>
    </xf>
    <xf numFmtId="167" fontId="6" fillId="7" borderId="9" xfId="1" applyNumberFormat="1" applyFont="1" applyFill="1" applyBorder="1" applyAlignment="1">
      <alignment horizontal="center"/>
    </xf>
    <xf numFmtId="0" fontId="4" fillId="8" borderId="0" xfId="0" applyFont="1" applyFill="1"/>
    <xf numFmtId="0" fontId="8" fillId="8" borderId="4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deltas-lognormales</c:v>
          </c:tx>
          <c:marker>
            <c:symbol val="none"/>
          </c:marker>
          <c:val>
            <c:numRef>
              <c:f>Sheet1!$U$8:$U$18</c:f>
              <c:numCache>
                <c:formatCode>0.00000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5-40D0-9119-0EC9BE15CBBF}"/>
            </c:ext>
          </c:extLst>
        </c:ser>
        <c:ser>
          <c:idx val="1"/>
          <c:order val="1"/>
          <c:tx>
            <c:v>deltas-normales</c:v>
          </c:tx>
          <c:marker>
            <c:symbol val="none"/>
          </c:marker>
          <c:val>
            <c:numRef>
              <c:f>Sheet1!$AD$8:$AD$18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5-40D0-9119-0EC9BE15C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57376"/>
        <c:axId val="90764416"/>
      </c:lineChart>
      <c:catAx>
        <c:axId val="90757376"/>
        <c:scaling>
          <c:orientation val="minMax"/>
        </c:scaling>
        <c:delete val="0"/>
        <c:axPos val="b"/>
        <c:majorTickMark val="out"/>
        <c:minorTickMark val="none"/>
        <c:tickLblPos val="nextTo"/>
        <c:crossAx val="90764416"/>
        <c:crosses val="autoZero"/>
        <c:auto val="1"/>
        <c:lblAlgn val="ctr"/>
        <c:lblOffset val="100"/>
        <c:noMultiLvlLbl val="0"/>
      </c:catAx>
      <c:valAx>
        <c:axId val="90764416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90757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711200</xdr:colOff>
      <xdr:row>18</xdr:row>
      <xdr:rowOff>76392</xdr:rowOff>
    </xdr:from>
    <xdr:to>
      <xdr:col>29</xdr:col>
      <xdr:colOff>466725</xdr:colOff>
      <xdr:row>20</xdr:row>
      <xdr:rowOff>123825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5300" y="3232342"/>
          <a:ext cx="5746750" cy="479233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114889</xdr:colOff>
      <xdr:row>21</xdr:row>
      <xdr:rowOff>50800</xdr:rowOff>
    </xdr:from>
    <xdr:to>
      <xdr:col>26</xdr:col>
      <xdr:colOff>211138</xdr:colOff>
      <xdr:row>24</xdr:row>
      <xdr:rowOff>11349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07639" y="3757613"/>
          <a:ext cx="1115424" cy="603486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468312</xdr:colOff>
      <xdr:row>18</xdr:row>
      <xdr:rowOff>183380</xdr:rowOff>
    </xdr:from>
    <xdr:to>
      <xdr:col>20</xdr:col>
      <xdr:colOff>123825</xdr:colOff>
      <xdr:row>23</xdr:row>
      <xdr:rowOff>104774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3318693"/>
          <a:ext cx="5087938" cy="98660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23812</xdr:colOff>
      <xdr:row>24</xdr:row>
      <xdr:rowOff>168275</xdr:rowOff>
    </xdr:from>
    <xdr:to>
      <xdr:col>20</xdr:col>
      <xdr:colOff>190500</xdr:colOff>
      <xdr:row>39</xdr:row>
      <xdr:rowOff>46038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AD36"/>
  <sheetViews>
    <sheetView showGridLines="0" tabSelected="1" zoomScale="120" zoomScaleNormal="120" workbookViewId="0"/>
  </sheetViews>
  <sheetFormatPr defaultColWidth="9.08984375" defaultRowHeight="14.5" x14ac:dyDescent="0.35"/>
  <cols>
    <col min="1" max="1" width="3.90625" customWidth="1"/>
    <col min="3" max="3" width="3.26953125" customWidth="1"/>
    <col min="4" max="4" width="11.08984375" customWidth="1"/>
    <col min="5" max="5" width="6.90625" style="11" customWidth="1"/>
    <col min="6" max="6" width="12.36328125" customWidth="1"/>
    <col min="7" max="7" width="12.90625" customWidth="1"/>
    <col min="8" max="8" width="7.90625" customWidth="1"/>
    <col min="9" max="9" width="13.90625" customWidth="1"/>
    <col min="10" max="10" width="15.6328125" customWidth="1"/>
    <col min="11" max="11" width="7.6328125" customWidth="1"/>
    <col min="12" max="12" width="13.26953125" customWidth="1"/>
    <col min="13" max="13" width="12.08984375" customWidth="1"/>
    <col min="14" max="14" width="11.6328125" customWidth="1"/>
    <col min="15" max="15" width="8.6328125" customWidth="1"/>
    <col min="16" max="16" width="8.36328125" customWidth="1"/>
    <col min="17" max="17" width="10.26953125" customWidth="1"/>
    <col min="18" max="18" width="7.81640625" customWidth="1"/>
    <col min="19" max="19" width="11.26953125" customWidth="1"/>
    <col min="20" max="20" width="7.81640625" customWidth="1"/>
    <col min="21" max="21" width="11.26953125" customWidth="1"/>
    <col min="22" max="22" width="12.36328125" customWidth="1"/>
    <col min="23" max="23" width="14.81640625" customWidth="1"/>
    <col min="24" max="24" width="11.81640625" customWidth="1"/>
    <col min="25" max="25" width="7.6328125" customWidth="1"/>
    <col min="26" max="27" width="6.90625" customWidth="1"/>
    <col min="28" max="28" width="12.54296875" customWidth="1"/>
    <col min="29" max="29" width="12.81640625" customWidth="1"/>
    <col min="30" max="30" width="10.54296875" customWidth="1"/>
  </cols>
  <sheetData>
    <row r="4" spans="2:30" ht="15.5" thickBot="1" x14ac:dyDescent="0.45">
      <c r="I4" s="45" t="s">
        <v>4</v>
      </c>
      <c r="J4" s="46"/>
      <c r="K4" s="11"/>
      <c r="L4" s="42" t="s">
        <v>8</v>
      </c>
      <c r="M4" s="25">
        <v>0.03</v>
      </c>
    </row>
    <row r="5" spans="2:30" ht="19" thickBot="1" x14ac:dyDescent="0.5">
      <c r="C5" s="1"/>
      <c r="D5" s="36" t="s">
        <v>0</v>
      </c>
      <c r="E5" s="37" t="s">
        <v>1</v>
      </c>
      <c r="F5" s="38" t="s">
        <v>3</v>
      </c>
      <c r="G5" s="38" t="s">
        <v>2</v>
      </c>
      <c r="I5" s="15" t="s">
        <v>6</v>
      </c>
      <c r="J5" s="20">
        <v>10000</v>
      </c>
      <c r="K5" s="11"/>
    </row>
    <row r="6" spans="2:30" ht="15" thickBot="1" x14ac:dyDescent="0.4">
      <c r="B6" s="35" t="s">
        <v>17</v>
      </c>
      <c r="C6" s="2"/>
      <c r="D6" s="3">
        <v>43595</v>
      </c>
      <c r="E6" s="29">
        <v>0</v>
      </c>
      <c r="F6" s="4">
        <v>1</v>
      </c>
      <c r="G6" s="10"/>
      <c r="H6" s="11"/>
      <c r="I6" s="14" t="s">
        <v>5</v>
      </c>
      <c r="J6" s="13">
        <v>-2E-3</v>
      </c>
      <c r="K6" s="19"/>
      <c r="L6" s="43" t="s">
        <v>7</v>
      </c>
      <c r="M6" s="44" t="s">
        <v>9</v>
      </c>
      <c r="N6" s="44" t="s">
        <v>10</v>
      </c>
      <c r="O6" s="44" t="s">
        <v>11</v>
      </c>
      <c r="P6" s="44" t="s">
        <v>12</v>
      </c>
      <c r="Q6" s="44" t="s">
        <v>13</v>
      </c>
      <c r="R6" s="44" t="s">
        <v>14</v>
      </c>
      <c r="S6" s="43" t="s">
        <v>16</v>
      </c>
      <c r="T6" s="44" t="s">
        <v>15</v>
      </c>
      <c r="U6" s="43" t="s">
        <v>22</v>
      </c>
      <c r="W6" s="27" t="s">
        <v>18</v>
      </c>
      <c r="X6" s="26" t="s">
        <v>10</v>
      </c>
      <c r="Y6" s="26" t="s">
        <v>19</v>
      </c>
      <c r="Z6" s="26" t="s">
        <v>20</v>
      </c>
      <c r="AA6" s="26" t="s">
        <v>21</v>
      </c>
      <c r="AB6" s="27" t="s">
        <v>16</v>
      </c>
      <c r="AC6" s="26" t="s">
        <v>15</v>
      </c>
      <c r="AD6" s="27" t="s">
        <v>22</v>
      </c>
    </row>
    <row r="7" spans="2:30" ht="15" thickBot="1" x14ac:dyDescent="0.4">
      <c r="B7" s="23">
        <v>0.25</v>
      </c>
      <c r="C7" s="2"/>
      <c r="D7" s="5">
        <v>43687</v>
      </c>
      <c r="E7" s="11">
        <f>YEARFRAC($D$6,D7)</f>
        <v>0.25</v>
      </c>
      <c r="F7" s="6">
        <v>1.0009495098726242</v>
      </c>
      <c r="G7" s="9"/>
      <c r="H7" s="12"/>
      <c r="I7" s="22" t="s">
        <v>24</v>
      </c>
      <c r="J7" s="16" t="s">
        <v>23</v>
      </c>
      <c r="K7" s="11"/>
      <c r="L7" s="18"/>
      <c r="W7" s="18"/>
    </row>
    <row r="8" spans="2:30" x14ac:dyDescent="0.35">
      <c r="C8" s="2"/>
      <c r="D8" s="5">
        <v>43779</v>
      </c>
      <c r="E8" s="11">
        <f t="shared" ref="E8:E36" si="0">YEARFRAC($D$6,D8)</f>
        <v>0.5</v>
      </c>
      <c r="F8" s="6">
        <v>1.0016393744415146</v>
      </c>
      <c r="G8" s="9"/>
      <c r="H8" s="12"/>
      <c r="I8" s="24">
        <f t="shared" ref="I8:I18" si="1">E8</f>
        <v>0.5</v>
      </c>
      <c r="J8" s="39">
        <v>0.64400000000000002</v>
      </c>
      <c r="K8" s="11"/>
      <c r="L8" s="32"/>
      <c r="M8" s="31"/>
      <c r="N8" s="31"/>
      <c r="O8" s="31"/>
      <c r="P8" s="31"/>
      <c r="Q8" s="31"/>
      <c r="R8" s="31"/>
      <c r="S8" s="33"/>
      <c r="T8" s="11"/>
      <c r="U8" s="28"/>
      <c r="W8" s="32"/>
      <c r="X8" s="31"/>
      <c r="Y8" s="31"/>
      <c r="Z8" s="31"/>
      <c r="AA8" s="31"/>
      <c r="AB8" s="33"/>
      <c r="AC8" s="11"/>
      <c r="AD8" s="34"/>
    </row>
    <row r="9" spans="2:30" x14ac:dyDescent="0.35">
      <c r="C9" s="2"/>
      <c r="D9" s="5">
        <v>43871</v>
      </c>
      <c r="E9" s="11">
        <f t="shared" si="0"/>
        <v>0.75</v>
      </c>
      <c r="F9" s="6">
        <v>1.0022141787244527</v>
      </c>
      <c r="G9" s="9"/>
      <c r="H9" s="12"/>
      <c r="I9" s="17">
        <f t="shared" si="1"/>
        <v>0.75</v>
      </c>
      <c r="J9" s="40">
        <v>1.9</v>
      </c>
      <c r="K9" s="11"/>
      <c r="L9" s="32"/>
      <c r="M9" s="31"/>
      <c r="N9" s="31"/>
      <c r="O9" s="31"/>
      <c r="P9" s="31"/>
      <c r="Q9" s="31"/>
      <c r="R9" s="31"/>
      <c r="S9" s="33"/>
      <c r="T9" s="11"/>
      <c r="U9" s="28"/>
      <c r="W9" s="32"/>
      <c r="X9" s="31"/>
      <c r="Y9" s="31"/>
      <c r="Z9" s="31"/>
      <c r="AA9" s="31"/>
      <c r="AB9" s="33"/>
      <c r="AC9" s="11"/>
      <c r="AD9" s="34"/>
    </row>
    <row r="10" spans="2:30" x14ac:dyDescent="0.35">
      <c r="C10" s="2"/>
      <c r="D10" s="5">
        <v>43961</v>
      </c>
      <c r="E10" s="11">
        <f t="shared" si="0"/>
        <v>1</v>
      </c>
      <c r="F10" s="6">
        <v>1.0027939373257593</v>
      </c>
      <c r="G10" s="9"/>
      <c r="H10" s="12"/>
      <c r="I10" s="17">
        <f t="shared" si="1"/>
        <v>1</v>
      </c>
      <c r="J10" s="40">
        <v>3.214</v>
      </c>
      <c r="K10" s="11"/>
      <c r="L10" s="32"/>
      <c r="M10" s="31"/>
      <c r="N10" s="31"/>
      <c r="O10" s="31"/>
      <c r="P10" s="31"/>
      <c r="Q10" s="31"/>
      <c r="R10" s="31"/>
      <c r="S10" s="33"/>
      <c r="T10" s="11"/>
      <c r="U10" s="28"/>
      <c r="W10" s="32"/>
      <c r="X10" s="31"/>
      <c r="Y10" s="31"/>
      <c r="Z10" s="31"/>
      <c r="AA10" s="31"/>
      <c r="AB10" s="33"/>
      <c r="AC10" s="11"/>
      <c r="AD10" s="34"/>
    </row>
    <row r="11" spans="2:30" x14ac:dyDescent="0.35">
      <c r="C11" s="2"/>
      <c r="D11" s="5">
        <v>44053</v>
      </c>
      <c r="E11" s="11">
        <f t="shared" si="0"/>
        <v>1.25</v>
      </c>
      <c r="F11" s="6">
        <v>1.0031155189350418</v>
      </c>
      <c r="G11" s="9"/>
      <c r="H11" s="12"/>
      <c r="I11" s="17">
        <f t="shared" si="1"/>
        <v>1.25</v>
      </c>
      <c r="J11" s="40">
        <v>4.8600000000000003</v>
      </c>
      <c r="K11" s="11"/>
      <c r="L11" s="32"/>
      <c r="M11" s="31"/>
      <c r="N11" s="31"/>
      <c r="O11" s="31"/>
      <c r="P11" s="31"/>
      <c r="Q11" s="31"/>
      <c r="R11" s="31"/>
      <c r="S11" s="33"/>
      <c r="T11" s="11"/>
      <c r="U11" s="28"/>
      <c r="W11" s="32"/>
      <c r="X11" s="31"/>
      <c r="Y11" s="31"/>
      <c r="Z11" s="31"/>
      <c r="AA11" s="31"/>
      <c r="AB11" s="33"/>
      <c r="AC11" s="11"/>
      <c r="AD11" s="34"/>
    </row>
    <row r="12" spans="2:30" x14ac:dyDescent="0.35">
      <c r="C12" s="2"/>
      <c r="D12" s="5">
        <v>44145</v>
      </c>
      <c r="E12" s="11">
        <f t="shared" si="0"/>
        <v>1.5</v>
      </c>
      <c r="F12" s="6">
        <v>1.0034084142118771</v>
      </c>
      <c r="G12" s="9"/>
      <c r="H12" s="12"/>
      <c r="I12" s="17">
        <f t="shared" si="1"/>
        <v>1.5</v>
      </c>
      <c r="J12" s="40">
        <v>5.9950000000000001</v>
      </c>
      <c r="K12" s="11"/>
      <c r="L12" s="32"/>
      <c r="M12" s="31"/>
      <c r="N12" s="31"/>
      <c r="O12" s="31"/>
      <c r="P12" s="31"/>
      <c r="Q12" s="31"/>
      <c r="R12" s="31"/>
      <c r="S12" s="33"/>
      <c r="T12" s="11"/>
      <c r="U12" s="28"/>
      <c r="W12" s="32"/>
      <c r="X12" s="31"/>
      <c r="Y12" s="31"/>
      <c r="Z12" s="31"/>
      <c r="AA12" s="31"/>
      <c r="AB12" s="33"/>
      <c r="AC12" s="11"/>
      <c r="AD12" s="34"/>
    </row>
    <row r="13" spans="2:30" x14ac:dyDescent="0.35">
      <c r="C13" s="2"/>
      <c r="D13" s="5">
        <v>44237</v>
      </c>
      <c r="E13" s="11">
        <f t="shared" si="0"/>
        <v>1.75</v>
      </c>
      <c r="F13" s="6">
        <v>1.0032814352503996</v>
      </c>
      <c r="G13" s="9"/>
      <c r="H13" s="12"/>
      <c r="I13" s="17">
        <f t="shared" si="1"/>
        <v>1.75</v>
      </c>
      <c r="J13" s="40">
        <v>12.335000000000001</v>
      </c>
      <c r="K13" s="11"/>
      <c r="L13" s="32"/>
      <c r="M13" s="31"/>
      <c r="N13" s="31"/>
      <c r="O13" s="31"/>
      <c r="P13" s="31"/>
      <c r="Q13" s="31"/>
      <c r="R13" s="31"/>
      <c r="S13" s="33"/>
      <c r="T13" s="11"/>
      <c r="U13" s="28"/>
      <c r="W13" s="32"/>
      <c r="X13" s="31"/>
      <c r="Y13" s="31"/>
      <c r="Z13" s="31"/>
      <c r="AA13" s="31"/>
      <c r="AB13" s="33"/>
      <c r="AC13" s="11"/>
      <c r="AD13" s="34"/>
    </row>
    <row r="14" spans="2:30" x14ac:dyDescent="0.35">
      <c r="C14" s="2"/>
      <c r="D14" s="5">
        <v>44326</v>
      </c>
      <c r="E14" s="11">
        <f t="shared" si="0"/>
        <v>2</v>
      </c>
      <c r="F14" s="6">
        <v>1.0030835684305057</v>
      </c>
      <c r="G14" s="9"/>
      <c r="H14" s="12"/>
      <c r="I14" s="17">
        <f t="shared" si="1"/>
        <v>2</v>
      </c>
      <c r="J14" s="40">
        <v>16.73</v>
      </c>
      <c r="K14" s="11"/>
      <c r="L14" s="32"/>
      <c r="M14" s="31"/>
      <c r="N14" s="31"/>
      <c r="O14" s="31"/>
      <c r="P14" s="31"/>
      <c r="Q14" s="31"/>
      <c r="R14" s="31"/>
      <c r="S14" s="33"/>
      <c r="T14" s="11"/>
      <c r="U14" s="28"/>
      <c r="W14" s="32"/>
      <c r="X14" s="31"/>
      <c r="Y14" s="31"/>
      <c r="Z14" s="31"/>
      <c r="AA14" s="31"/>
      <c r="AB14" s="33"/>
      <c r="AC14" s="11"/>
      <c r="AD14" s="34"/>
    </row>
    <row r="15" spans="2:30" x14ac:dyDescent="0.35">
      <c r="C15" s="2"/>
      <c r="D15" s="5">
        <v>44418</v>
      </c>
      <c r="E15" s="11">
        <f t="shared" si="0"/>
        <v>2.25</v>
      </c>
      <c r="F15" s="6">
        <v>1.0022247123476828</v>
      </c>
      <c r="G15" s="9"/>
      <c r="H15" s="12"/>
      <c r="I15" s="17">
        <f t="shared" si="1"/>
        <v>2.25</v>
      </c>
      <c r="J15" s="40">
        <v>19.875</v>
      </c>
      <c r="K15" s="11"/>
      <c r="L15" s="32"/>
      <c r="M15" s="31"/>
      <c r="N15" s="31"/>
      <c r="O15" s="31"/>
      <c r="P15" s="31"/>
      <c r="Q15" s="31"/>
      <c r="R15" s="31"/>
      <c r="S15" s="33"/>
      <c r="T15" s="11"/>
      <c r="U15" s="28"/>
      <c r="W15" s="32"/>
      <c r="X15" s="31"/>
      <c r="Y15" s="31"/>
      <c r="Z15" s="31"/>
      <c r="AA15" s="31"/>
      <c r="AB15" s="33"/>
      <c r="AC15" s="11"/>
      <c r="AD15" s="34"/>
    </row>
    <row r="16" spans="2:30" x14ac:dyDescent="0.35">
      <c r="C16" s="2"/>
      <c r="D16" s="5">
        <v>44510</v>
      </c>
      <c r="E16" s="11">
        <f t="shared" si="0"/>
        <v>2.5</v>
      </c>
      <c r="F16" s="6">
        <v>1.0012336584122741</v>
      </c>
      <c r="G16" s="9"/>
      <c r="H16" s="12"/>
      <c r="I16" s="17">
        <f t="shared" si="1"/>
        <v>2.5</v>
      </c>
      <c r="J16" s="40">
        <v>24.986999999999998</v>
      </c>
      <c r="K16" s="11"/>
      <c r="L16" s="32"/>
      <c r="M16" s="31"/>
      <c r="N16" s="31"/>
      <c r="O16" s="31"/>
      <c r="P16" s="31"/>
      <c r="Q16" s="31"/>
      <c r="R16" s="31"/>
      <c r="S16" s="33"/>
      <c r="T16" s="11"/>
      <c r="U16" s="28"/>
      <c r="W16" s="32"/>
      <c r="X16" s="31"/>
      <c r="Y16" s="31"/>
      <c r="Z16" s="31"/>
      <c r="AA16" s="31"/>
      <c r="AB16" s="33"/>
      <c r="AC16" s="11"/>
      <c r="AD16" s="34"/>
    </row>
    <row r="17" spans="3:30" x14ac:dyDescent="0.35">
      <c r="C17" s="2"/>
      <c r="D17" s="5">
        <v>44602</v>
      </c>
      <c r="E17" s="11">
        <f t="shared" si="0"/>
        <v>2.75</v>
      </c>
      <c r="F17" s="6">
        <v>1.0002426044768653</v>
      </c>
      <c r="G17" s="9"/>
      <c r="H17" s="12"/>
      <c r="I17" s="17">
        <f t="shared" si="1"/>
        <v>2.75</v>
      </c>
      <c r="J17" s="40">
        <v>31.32</v>
      </c>
      <c r="K17" s="11"/>
      <c r="L17" s="32"/>
      <c r="M17" s="31"/>
      <c r="N17" s="31"/>
      <c r="O17" s="31"/>
      <c r="P17" s="31"/>
      <c r="Q17" s="31"/>
      <c r="R17" s="31"/>
      <c r="S17" s="33"/>
      <c r="T17" s="11"/>
      <c r="U17" s="28"/>
      <c r="W17" s="32"/>
      <c r="X17" s="31"/>
      <c r="Y17" s="31"/>
      <c r="Z17" s="31"/>
      <c r="AA17" s="31"/>
      <c r="AB17" s="33"/>
      <c r="AC17" s="11"/>
      <c r="AD17" s="34"/>
    </row>
    <row r="18" spans="3:30" ht="15" thickBot="1" x14ac:dyDescent="0.4">
      <c r="C18" s="2"/>
      <c r="D18" s="5">
        <v>44691</v>
      </c>
      <c r="E18" s="11">
        <f t="shared" si="0"/>
        <v>3</v>
      </c>
      <c r="F18" s="6">
        <v>0.99925155054145653</v>
      </c>
      <c r="G18" s="9"/>
      <c r="H18" s="12"/>
      <c r="I18" s="14">
        <f t="shared" si="1"/>
        <v>3</v>
      </c>
      <c r="J18" s="41">
        <v>35.340000000000003</v>
      </c>
      <c r="K18" s="11"/>
      <c r="L18" s="32"/>
      <c r="M18" s="31"/>
      <c r="N18" s="31"/>
      <c r="O18" s="31"/>
      <c r="P18" s="31"/>
      <c r="Q18" s="31"/>
      <c r="R18" s="31"/>
      <c r="S18" s="33"/>
      <c r="T18" s="11"/>
      <c r="U18" s="28"/>
      <c r="W18" s="32"/>
      <c r="X18" s="31"/>
      <c r="Y18" s="31"/>
      <c r="Z18" s="31"/>
      <c r="AA18" s="31"/>
      <c r="AB18" s="33"/>
      <c r="AC18" s="11"/>
      <c r="AD18" s="34"/>
    </row>
    <row r="19" spans="3:30" x14ac:dyDescent="0.35">
      <c r="C19" s="2"/>
      <c r="D19" s="5">
        <v>44783</v>
      </c>
      <c r="E19" s="11">
        <f t="shared" si="0"/>
        <v>3.25</v>
      </c>
      <c r="F19" s="6">
        <v>0.99751300385359953</v>
      </c>
      <c r="G19" s="9"/>
      <c r="H19" s="12"/>
      <c r="K19" s="11"/>
      <c r="S19" s="21"/>
      <c r="T19" s="11"/>
    </row>
    <row r="20" spans="3:30" x14ac:dyDescent="0.35">
      <c r="C20" s="2"/>
      <c r="D20" s="5">
        <v>44875</v>
      </c>
      <c r="E20" s="11">
        <f t="shared" si="0"/>
        <v>3.5</v>
      </c>
      <c r="F20" s="6">
        <v>0.99553262127524467</v>
      </c>
      <c r="G20" s="9"/>
      <c r="H20" s="12"/>
      <c r="K20" s="11"/>
      <c r="S20" s="21"/>
    </row>
    <row r="21" spans="3:30" x14ac:dyDescent="0.35">
      <c r="C21" s="2"/>
      <c r="D21" s="5">
        <v>44967</v>
      </c>
      <c r="E21" s="11">
        <f t="shared" si="0"/>
        <v>3.75</v>
      </c>
      <c r="F21" s="6">
        <v>0.99355223869688969</v>
      </c>
      <c r="G21" s="9"/>
      <c r="H21" s="12"/>
      <c r="K21" s="11"/>
      <c r="S21" s="21"/>
    </row>
    <row r="22" spans="3:30" x14ac:dyDescent="0.35">
      <c r="C22" s="2"/>
      <c r="D22" s="5">
        <v>45056</v>
      </c>
      <c r="E22" s="11">
        <f t="shared" si="0"/>
        <v>4</v>
      </c>
      <c r="F22" s="6">
        <v>0.99157185611853482</v>
      </c>
      <c r="G22" s="9"/>
      <c r="H22" s="12"/>
      <c r="K22" s="11"/>
      <c r="S22" s="21"/>
    </row>
    <row r="23" spans="3:30" x14ac:dyDescent="0.35">
      <c r="C23" s="2"/>
      <c r="D23" s="5">
        <v>45148</v>
      </c>
      <c r="E23" s="11">
        <f t="shared" si="0"/>
        <v>4.25</v>
      </c>
      <c r="F23" s="6">
        <v>0.98906917256902982</v>
      </c>
      <c r="G23" s="9"/>
      <c r="H23" s="12"/>
      <c r="K23" s="11"/>
      <c r="S23" s="21"/>
    </row>
    <row r="24" spans="3:30" x14ac:dyDescent="0.35">
      <c r="C24" s="2"/>
      <c r="D24" s="5">
        <v>45240</v>
      </c>
      <c r="E24" s="11">
        <f t="shared" si="0"/>
        <v>4.5</v>
      </c>
      <c r="F24" s="6">
        <v>0.98635430424999515</v>
      </c>
      <c r="G24" s="9"/>
      <c r="H24" s="12"/>
      <c r="K24" s="11"/>
      <c r="S24" s="21"/>
    </row>
    <row r="25" spans="3:30" x14ac:dyDescent="0.35">
      <c r="C25" s="2"/>
      <c r="D25" s="5">
        <v>45332</v>
      </c>
      <c r="E25" s="11">
        <f t="shared" si="0"/>
        <v>4.75</v>
      </c>
      <c r="F25" s="6">
        <v>0.98363943593096059</v>
      </c>
      <c r="G25" s="9"/>
      <c r="H25" s="12"/>
      <c r="K25" s="11"/>
      <c r="S25" s="21"/>
    </row>
    <row r="26" spans="3:30" x14ac:dyDescent="0.35">
      <c r="C26" s="2"/>
      <c r="D26" s="5">
        <v>45422</v>
      </c>
      <c r="E26" s="11">
        <f t="shared" si="0"/>
        <v>5</v>
      </c>
      <c r="F26" s="6">
        <v>0.98092456761192592</v>
      </c>
      <c r="G26" s="9"/>
      <c r="H26" s="12"/>
      <c r="K26" s="11"/>
      <c r="S26" s="21"/>
    </row>
    <row r="27" spans="3:30" x14ac:dyDescent="0.35">
      <c r="C27" s="2"/>
      <c r="D27" s="5">
        <v>45514</v>
      </c>
      <c r="E27" s="11">
        <f t="shared" si="0"/>
        <v>5.25</v>
      </c>
      <c r="F27" s="6">
        <v>0.97796397893201248</v>
      </c>
      <c r="G27" s="9"/>
      <c r="H27" s="12"/>
      <c r="K27" s="11"/>
      <c r="S27" s="21"/>
    </row>
    <row r="28" spans="3:30" x14ac:dyDescent="0.35">
      <c r="C28" s="2"/>
      <c r="D28" s="5">
        <v>45606</v>
      </c>
      <c r="E28" s="11">
        <f t="shared" si="0"/>
        <v>5.5</v>
      </c>
      <c r="F28" s="6">
        <v>0.97488053007165976</v>
      </c>
      <c r="G28" s="9"/>
      <c r="H28" s="12"/>
      <c r="K28" s="11"/>
      <c r="S28" s="21"/>
    </row>
    <row r="29" spans="3:30" x14ac:dyDescent="0.35">
      <c r="C29" s="2"/>
      <c r="D29" s="5">
        <v>45698</v>
      </c>
      <c r="E29" s="11">
        <f t="shared" si="0"/>
        <v>5.75</v>
      </c>
      <c r="F29" s="6">
        <v>0.97179708121130692</v>
      </c>
      <c r="G29" s="9"/>
      <c r="H29" s="12"/>
      <c r="K29" s="11"/>
      <c r="S29" s="21"/>
    </row>
    <row r="30" spans="3:30" x14ac:dyDescent="0.35">
      <c r="C30" s="2"/>
      <c r="D30" s="5">
        <v>45787</v>
      </c>
      <c r="E30" s="11">
        <f t="shared" si="0"/>
        <v>6</v>
      </c>
      <c r="F30" s="6">
        <v>0.9687136323509542</v>
      </c>
      <c r="G30" s="9"/>
      <c r="H30" s="12"/>
      <c r="K30" s="11"/>
      <c r="S30" s="21"/>
    </row>
    <row r="31" spans="3:30" x14ac:dyDescent="0.35">
      <c r="C31" s="2"/>
      <c r="D31" s="5">
        <v>45879</v>
      </c>
      <c r="E31" s="11">
        <f t="shared" si="0"/>
        <v>6.25</v>
      </c>
      <c r="F31" s="6">
        <v>0.96536641173985649</v>
      </c>
      <c r="G31" s="9"/>
      <c r="H31" s="12"/>
      <c r="K31" s="11"/>
      <c r="S31" s="21"/>
    </row>
    <row r="32" spans="3:30" x14ac:dyDescent="0.35">
      <c r="C32" s="2"/>
      <c r="D32" s="5">
        <v>45971</v>
      </c>
      <c r="E32" s="11">
        <f t="shared" si="0"/>
        <v>6.5</v>
      </c>
      <c r="F32" s="6">
        <v>0.96184334329492871</v>
      </c>
      <c r="G32" s="9"/>
      <c r="H32" s="12"/>
      <c r="K32" s="11"/>
      <c r="S32" s="21"/>
    </row>
    <row r="33" spans="3:19" x14ac:dyDescent="0.35">
      <c r="C33" s="2"/>
      <c r="D33" s="5">
        <v>46063</v>
      </c>
      <c r="E33" s="11">
        <f t="shared" si="0"/>
        <v>6.75</v>
      </c>
      <c r="F33" s="6">
        <v>0.95832027485000104</v>
      </c>
      <c r="G33" s="9"/>
      <c r="H33" s="12"/>
      <c r="K33" s="11"/>
      <c r="S33" s="21"/>
    </row>
    <row r="34" spans="3:19" x14ac:dyDescent="0.35">
      <c r="C34" s="2"/>
      <c r="D34" s="5">
        <v>46152</v>
      </c>
      <c r="E34" s="11">
        <f t="shared" si="0"/>
        <v>7</v>
      </c>
      <c r="F34" s="6">
        <v>0.95479720640507337</v>
      </c>
      <c r="G34" s="9"/>
      <c r="H34" s="12"/>
      <c r="K34" s="11"/>
      <c r="S34" s="21"/>
    </row>
    <row r="35" spans="3:19" x14ac:dyDescent="0.35">
      <c r="D35" s="5">
        <v>46244</v>
      </c>
      <c r="E35" s="11">
        <f t="shared" si="0"/>
        <v>7.25</v>
      </c>
      <c r="F35" s="6">
        <v>0.95106143685306455</v>
      </c>
      <c r="G35" s="9"/>
      <c r="H35" s="12"/>
      <c r="K35" s="11"/>
      <c r="S35" s="21"/>
    </row>
    <row r="36" spans="3:19" ht="15" thickBot="1" x14ac:dyDescent="0.4">
      <c r="D36" s="7">
        <v>46336</v>
      </c>
      <c r="E36" s="30">
        <f t="shared" si="0"/>
        <v>7.5</v>
      </c>
      <c r="F36" s="8">
        <v>0.94714769290533485</v>
      </c>
      <c r="G36" s="9"/>
      <c r="H36" s="12"/>
      <c r="K36" s="11"/>
      <c r="S36" s="21"/>
    </row>
  </sheetData>
  <mergeCells count="1"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deltat</vt:lpstr>
      <vt:lpstr>K</vt:lpstr>
      <vt:lpstr>Nom</vt:lpstr>
      <vt:lpstr>shift</vt:lpstr>
    </vt:vector>
  </TitlesOfParts>
  <Company>Analistas Financieros Internacionales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José Javier Calderón Coronado</cp:lastModifiedBy>
  <dcterms:created xsi:type="dcterms:W3CDTF">2018-05-16T09:52:59Z</dcterms:created>
  <dcterms:modified xsi:type="dcterms:W3CDTF">2025-01-31T14:02:27Z</dcterms:modified>
</cp:coreProperties>
</file>