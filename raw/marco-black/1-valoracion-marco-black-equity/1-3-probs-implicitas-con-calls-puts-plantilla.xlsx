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4_Valoracion_MFC\Valoración\Documentación\1. Marco Black. Equity\1.Valoración. Marco Black Equity. Ejercicios\"/>
    </mc:Choice>
  </mc:AlternateContent>
  <xr:revisionPtr revIDLastSave="0" documentId="13_ncr:1_{C4B97EBF-DEA6-4A26-9CAC-5CC6DE1ECE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spot">Hoja1!$C$13</definedName>
    <definedName name="T">Hoja1!$C$12</definedName>
    <definedName name="tipo">Hoja1!$C$11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1" l="1"/>
  <c r="C76" i="1"/>
  <c r="C48" i="1"/>
  <c r="C49" i="1" s="1"/>
  <c r="C46" i="1"/>
  <c r="C45" i="1" s="1"/>
  <c r="C100" i="1" l="1"/>
  <c r="C44" i="1"/>
  <c r="C97" i="1"/>
  <c r="C101" i="1"/>
  <c r="C50" i="1"/>
  <c r="C98" i="1"/>
  <c r="C51" i="1" l="1"/>
  <c r="C102" i="1"/>
  <c r="C43" i="1"/>
  <c r="C9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76" i="1"/>
  <c r="C12" i="1"/>
  <c r="C42" i="1" l="1"/>
  <c r="C95" i="1"/>
  <c r="C103" i="1"/>
  <c r="C52" i="1"/>
  <c r="C17" i="1"/>
  <c r="C53" i="1" l="1"/>
  <c r="C104" i="1"/>
  <c r="C41" i="1"/>
  <c r="C94" i="1"/>
  <c r="C40" i="1" l="1"/>
  <c r="C93" i="1"/>
  <c r="C54" i="1"/>
  <c r="C105" i="1"/>
  <c r="C55" i="1" l="1"/>
  <c r="C106" i="1"/>
  <c r="C39" i="1"/>
  <c r="C92" i="1"/>
  <c r="C38" i="1" l="1"/>
  <c r="C91" i="1"/>
  <c r="C56" i="1"/>
  <c r="C107" i="1"/>
  <c r="C57" i="1" l="1"/>
  <c r="C108" i="1"/>
  <c r="C37" i="1"/>
  <c r="C90" i="1"/>
  <c r="C58" i="1" l="1"/>
  <c r="C109" i="1"/>
  <c r="C36" i="1"/>
  <c r="C89" i="1"/>
  <c r="C59" i="1" l="1"/>
  <c r="C110" i="1"/>
  <c r="C35" i="1"/>
  <c r="C88" i="1"/>
  <c r="C34" i="1" l="1"/>
  <c r="C87" i="1"/>
  <c r="C60" i="1"/>
  <c r="C111" i="1"/>
  <c r="C33" i="1" l="1"/>
  <c r="C86" i="1"/>
  <c r="C61" i="1"/>
  <c r="C112" i="1"/>
  <c r="C32" i="1" l="1"/>
  <c r="C85" i="1"/>
  <c r="C62" i="1"/>
  <c r="C113" i="1"/>
  <c r="C31" i="1" l="1"/>
  <c r="C84" i="1"/>
  <c r="C63" i="1"/>
  <c r="C114" i="1"/>
  <c r="C64" i="1" l="1"/>
  <c r="C115" i="1"/>
  <c r="C30" i="1"/>
  <c r="C83" i="1"/>
  <c r="C65" i="1" l="1"/>
  <c r="C116" i="1"/>
  <c r="C29" i="1"/>
  <c r="C82" i="1"/>
  <c r="C66" i="1" l="1"/>
  <c r="C117" i="1"/>
  <c r="C28" i="1"/>
  <c r="C81" i="1"/>
  <c r="C67" i="1" l="1"/>
  <c r="C118" i="1"/>
  <c r="C27" i="1"/>
  <c r="C80" i="1"/>
  <c r="C26" i="1" l="1"/>
  <c r="C79" i="1"/>
  <c r="C68" i="1"/>
  <c r="C119" i="1"/>
  <c r="C25" i="1" l="1"/>
  <c r="C78" i="1"/>
  <c r="C69" i="1"/>
  <c r="C120" i="1"/>
  <c r="C77" i="1" l="1"/>
  <c r="C70" i="1"/>
  <c r="C121" i="1"/>
  <c r="C122" i="1" l="1"/>
  <c r="Q23" i="1" l="1"/>
  <c r="Q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</author>
    <author>Euclides</author>
  </authors>
  <commentList>
    <comment ref="N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El primero es especial. La diferencia de las dos primeras puts nos da la probabilidad de la cola de la izquierda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esta división por 100 es porque la diferencia entre strikes consecutivos es justamente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los datos en negro "parecen" haber sido rellenados linealmente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para el resto, usamos calls (se puede hacer con todo puts)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observa que son "segundas" diferencias de precios de calls, para obtener butterflies. En clase escribimos este código como cartera con pesos 1, -2 y 1, de las 3 calls involucradas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el strike más cercano al ATM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vola ATM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<sst xmlns="http://schemas.openxmlformats.org/spreadsheetml/2006/main" count="127" uniqueCount="24">
  <si>
    <t xml:space="preserve">tipo </t>
  </si>
  <si>
    <t>spot</t>
  </si>
  <si>
    <t>K</t>
  </si>
  <si>
    <t>vola</t>
  </si>
  <si>
    <t>Fecha valoracion</t>
  </si>
  <si>
    <t>Fecha vencimiento</t>
  </si>
  <si>
    <t>vencimiento</t>
  </si>
  <si>
    <t>PUT</t>
  </si>
  <si>
    <t>CALL</t>
  </si>
  <si>
    <t>call</t>
  </si>
  <si>
    <t>fwd</t>
  </si>
  <si>
    <t>put</t>
  </si>
  <si>
    <t>moneyness</t>
  </si>
  <si>
    <t>vola acum</t>
  </si>
  <si>
    <t>phi(d+)</t>
  </si>
  <si>
    <t>phi(d-)</t>
  </si>
  <si>
    <t>precios</t>
  </si>
  <si>
    <t>probs</t>
  </si>
  <si>
    <t>comparación de probs implícitas</t>
  </si>
  <si>
    <t>con volas de mercado</t>
  </si>
  <si>
    <t>con vola ATM</t>
  </si>
  <si>
    <t>ATM</t>
  </si>
  <si>
    <t>Datos</t>
  </si>
  <si>
    <t>strikeATM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</si>
</sst>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%"/>
    <numFmt numFmtId="166" formatCode="0.00000%"/>
  </numFmts>
  <fonts count="13" x14ac:knownFonts="1">
    <font>
      <sz val="11"/>
      <color theme="1"/>
      <name val="Amasis MT Pro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masis MT Pro"/>
      <family val="2"/>
      <scheme val="minor"/>
    </font>
    <font>
      <b/>
      <sz val="11"/>
      <color theme="1"/>
      <name val="Amasis MT Pro"/>
      <family val="2"/>
      <scheme val="minor"/>
    </font>
    <font>
      <b/>
      <i/>
      <sz val="11"/>
      <color indexed="8"/>
      <name val="Amasis MT Pro"/>
      <family val="2"/>
      <scheme val="minor"/>
    </font>
    <font>
      <b/>
      <sz val="11"/>
      <color indexed="62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sz val="11"/>
      <color theme="3"/>
      <name val="Amasis MT Pro"/>
      <family val="2"/>
      <scheme val="minor"/>
    </font>
    <font>
      <b/>
      <i/>
      <sz val="11"/>
      <color theme="3"/>
      <name val="Amasis MT Pro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10" fontId="0" fillId="0" borderId="0" xfId="0" applyNumberFormat="1"/>
    <xf numFmtId="0" fontId="7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3" fontId="0" fillId="2" borderId="0" xfId="0" applyNumberFormat="1" applyFill="1"/>
    <xf numFmtId="2" fontId="0" fillId="0" borderId="0" xfId="0" applyNumberFormat="1"/>
    <xf numFmtId="0" fontId="0" fillId="4" borderId="0" xfId="0" applyFill="1"/>
    <xf numFmtId="10" fontId="5" fillId="0" borderId="0" xfId="1" applyNumberFormat="1" applyFont="1"/>
    <xf numFmtId="164" fontId="0" fillId="0" borderId="0" xfId="0" applyNumberFormat="1"/>
    <xf numFmtId="1" fontId="0" fillId="0" borderId="0" xfId="0" applyNumberFormat="1"/>
    <xf numFmtId="0" fontId="0" fillId="0" borderId="3" xfId="0" applyBorder="1" applyAlignment="1">
      <alignment horizontal="right"/>
    </xf>
    <xf numFmtId="10" fontId="5" fillId="4" borderId="0" xfId="1" applyNumberFormat="1" applyFont="1" applyFill="1"/>
    <xf numFmtId="10" fontId="8" fillId="3" borderId="0" xfId="0" applyNumberFormat="1" applyFont="1" applyFill="1"/>
    <xf numFmtId="10" fontId="6" fillId="3" borderId="0" xfId="0" applyNumberFormat="1" applyFont="1" applyFill="1"/>
    <xf numFmtId="10" fontId="8" fillId="3" borderId="3" xfId="0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4" xfId="0" applyNumberFormat="1" applyBorder="1"/>
    <xf numFmtId="2" fontId="0" fillId="4" borderId="0" xfId="0" applyNumberFormat="1" applyFill="1"/>
    <xf numFmtId="0" fontId="0" fillId="0" borderId="4" xfId="0" applyBorder="1" applyAlignment="1">
      <alignment horizontal="right"/>
    </xf>
    <xf numFmtId="165" fontId="5" fillId="2" borderId="0" xfId="1" applyNumberFormat="1" applyFont="1" applyFill="1"/>
    <xf numFmtId="165" fontId="5" fillId="0" borderId="0" xfId="1" applyNumberFormat="1" applyFont="1"/>
    <xf numFmtId="165" fontId="5" fillId="4" borderId="0" xfId="1" applyNumberFormat="1" applyFont="1" applyFill="1"/>
    <xf numFmtId="0" fontId="0" fillId="0" borderId="0" xfId="0" applyAlignment="1">
      <alignment horizontal="center"/>
    </xf>
    <xf numFmtId="0" fontId="9" fillId="0" borderId="0" xfId="0" applyFont="1"/>
    <xf numFmtId="0" fontId="10" fillId="5" borderId="0" xfId="0" applyFont="1" applyFill="1" applyAlignment="1">
      <alignment horizontal="center"/>
    </xf>
    <xf numFmtId="10" fontId="8" fillId="3" borderId="15" xfId="0" applyNumberFormat="1" applyFont="1" applyFill="1" applyBorder="1"/>
    <xf numFmtId="3" fontId="0" fillId="2" borderId="15" xfId="0" applyNumberFormat="1" applyFill="1" applyBorder="1"/>
    <xf numFmtId="3" fontId="0" fillId="2" borderId="16" xfId="0" applyNumberFormat="1" applyFill="1" applyBorder="1"/>
    <xf numFmtId="166" fontId="0" fillId="0" borderId="0" xfId="1" applyNumberFormat="1" applyFont="1"/>
    <xf numFmtId="14" fontId="0" fillId="0" borderId="0" xfId="0" applyNumberFormat="1"/>
    <xf numFmtId="0" fontId="10" fillId="7" borderId="4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10" fontId="11" fillId="0" borderId="0" xfId="0" applyNumberFormat="1" applyFont="1"/>
    <xf numFmtId="0" fontId="10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76200</xdr:rowOff>
    </xdr:from>
    <xdr:to>
      <xdr:col>6</xdr:col>
      <xdr:colOff>679717</xdr:colOff>
      <xdr:row>5</xdr:row>
      <xdr:rowOff>95298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DFBA7-08C0-D772-CEDF-DB54E7A0D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76200"/>
          <a:ext cx="5188217" cy="9398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0:U122"/>
  <sheetViews>
    <sheetView showGridLines="0" tabSelected="1" workbookViewId="0">
      <selection activeCell="I5" sqref="I5"/>
    </sheetView>
  </sheetViews>
  <sheetFormatPr defaultColWidth="11.36328125" defaultRowHeight="14.5" x14ac:dyDescent="0.35"/>
  <cols>
    <col min="1" max="1" width="7.54296875" customWidth="1"/>
    <col min="2" max="2" width="18.90625" customWidth="1"/>
    <col min="3" max="3" width="12.90625" bestFit="1" customWidth="1"/>
    <col min="5" max="5" width="4.90625" customWidth="1"/>
    <col min="13" max="13" width="6.6328125" customWidth="1"/>
    <col min="18" max="18" width="7.26953125" customWidth="1"/>
    <col min="19" max="19" width="12.08984375" customWidth="1"/>
    <col min="20" max="20" width="13.1796875" customWidth="1"/>
    <col min="21" max="21" width="13.54296875" customWidth="1"/>
  </cols>
  <sheetData>
    <row r="10" spans="2:7" x14ac:dyDescent="0.35">
      <c r="B10" s="56" t="s">
        <v>22</v>
      </c>
      <c r="C10" s="56"/>
    </row>
    <row r="11" spans="2:7" ht="15" x14ac:dyDescent="0.4">
      <c r="B11" s="50" t="s">
        <v>0</v>
      </c>
      <c r="C11" s="1">
        <v>3.2000000000000002E-3</v>
      </c>
      <c r="F11" s="57"/>
    </row>
    <row r="12" spans="2:7" ht="15" x14ac:dyDescent="0.4">
      <c r="B12" s="50" t="s">
        <v>6</v>
      </c>
      <c r="C12">
        <f>(C15-C14)/365</f>
        <v>6.0273972602739728E-2</v>
      </c>
    </row>
    <row r="13" spans="2:7" ht="15" x14ac:dyDescent="0.4">
      <c r="B13" s="50" t="s">
        <v>1</v>
      </c>
      <c r="C13">
        <v>10500</v>
      </c>
    </row>
    <row r="14" spans="2:7" ht="15" x14ac:dyDescent="0.4">
      <c r="B14" s="50" t="s">
        <v>4</v>
      </c>
      <c r="C14" s="42">
        <v>43854</v>
      </c>
      <c r="G14" s="1"/>
    </row>
    <row r="15" spans="2:7" ht="15" x14ac:dyDescent="0.4">
      <c r="B15" s="50" t="s">
        <v>5</v>
      </c>
      <c r="C15" s="42">
        <v>43876</v>
      </c>
    </row>
    <row r="16" spans="2:7" x14ac:dyDescent="0.35">
      <c r="B16" s="35"/>
    </row>
    <row r="17" spans="2:21" ht="15" x14ac:dyDescent="0.4">
      <c r="B17" s="50" t="s">
        <v>23</v>
      </c>
      <c r="C17" s="35">
        <f>spot*EXP(tipo*T)</f>
        <v>10502.025400799497</v>
      </c>
    </row>
    <row r="18" spans="2:21" x14ac:dyDescent="0.35">
      <c r="B18" s="35"/>
    </row>
    <row r="20" spans="2:21" x14ac:dyDescent="0.35">
      <c r="T20" s="36" t="s">
        <v>18</v>
      </c>
    </row>
    <row r="21" spans="2:21" ht="15" thickBot="1" x14ac:dyDescent="0.4"/>
    <row r="22" spans="2:21" ht="15" thickBot="1" x14ac:dyDescent="0.4">
      <c r="C22" s="2" t="s">
        <v>2</v>
      </c>
      <c r="D22" s="2" t="s">
        <v>3</v>
      </c>
      <c r="J22" s="51" t="s">
        <v>16</v>
      </c>
      <c r="K22" s="52"/>
      <c r="L22" s="53"/>
      <c r="P22" s="41"/>
      <c r="Q22" s="35" t="s">
        <v>17</v>
      </c>
      <c r="T22" s="54" t="s">
        <v>19</v>
      </c>
      <c r="U22" s="54" t="s">
        <v>20</v>
      </c>
    </row>
    <row r="23" spans="2:21" ht="15.5" thickBot="1" x14ac:dyDescent="0.45">
      <c r="C23" s="3">
        <v>0</v>
      </c>
      <c r="F23" s="43" t="s">
        <v>12</v>
      </c>
      <c r="G23" s="44" t="s">
        <v>13</v>
      </c>
      <c r="H23" s="44" t="s">
        <v>14</v>
      </c>
      <c r="I23" s="44" t="s">
        <v>15</v>
      </c>
      <c r="J23" s="43" t="s">
        <v>9</v>
      </c>
      <c r="K23" s="44" t="s">
        <v>10</v>
      </c>
      <c r="L23" s="45" t="s">
        <v>11</v>
      </c>
      <c r="Q23" s="46">
        <f>SUM(Q24:Q70)</f>
        <v>0</v>
      </c>
      <c r="S23" s="8"/>
      <c r="T23" s="55"/>
      <c r="U23" s="55"/>
    </row>
    <row r="24" spans="2:21" ht="15" x14ac:dyDescent="0.4">
      <c r="B24" s="4" t="s">
        <v>7</v>
      </c>
      <c r="C24" s="5">
        <v>8200</v>
      </c>
      <c r="D24" s="13">
        <v>0.50080000000000002</v>
      </c>
      <c r="F24" s="16"/>
      <c r="G24" s="17"/>
      <c r="H24" s="17"/>
      <c r="I24" s="18"/>
      <c r="J24" s="24"/>
      <c r="K24" s="17"/>
      <c r="L24" s="25"/>
      <c r="N24" s="30"/>
      <c r="O24" s="7"/>
      <c r="P24" s="32"/>
      <c r="Q24" s="8"/>
      <c r="S24" s="5"/>
      <c r="T24" s="1"/>
      <c r="U24" s="1"/>
    </row>
    <row r="25" spans="2:21" ht="15" x14ac:dyDescent="0.4">
      <c r="B25" s="4" t="s">
        <v>7</v>
      </c>
      <c r="C25" s="5">
        <f t="shared" ref="C25:C45" si="0">C26-100</f>
        <v>8300</v>
      </c>
      <c r="D25" s="14">
        <v>0.49563333333333337</v>
      </c>
      <c r="E25" s="9"/>
      <c r="F25" s="19"/>
      <c r="I25" s="20"/>
      <c r="J25" s="26"/>
      <c r="L25" s="27"/>
      <c r="N25" s="6"/>
      <c r="P25" s="33"/>
      <c r="Q25" s="8"/>
      <c r="S25" s="5"/>
      <c r="T25" s="1"/>
      <c r="U25" s="1"/>
    </row>
    <row r="26" spans="2:21" ht="15" x14ac:dyDescent="0.4">
      <c r="B26" s="4" t="s">
        <v>7</v>
      </c>
      <c r="C26" s="5">
        <f t="shared" si="0"/>
        <v>8400</v>
      </c>
      <c r="D26" s="14">
        <v>0.49046666666666672</v>
      </c>
      <c r="E26" s="9"/>
      <c r="F26" s="19"/>
      <c r="I26" s="20"/>
      <c r="J26" s="26"/>
      <c r="L26" s="27"/>
      <c r="N26" s="6"/>
      <c r="P26" s="33"/>
      <c r="Q26" s="8"/>
      <c r="S26" s="5"/>
      <c r="T26" s="1"/>
      <c r="U26" s="1"/>
    </row>
    <row r="27" spans="2:21" ht="15" x14ac:dyDescent="0.4">
      <c r="B27" s="4" t="s">
        <v>7</v>
      </c>
      <c r="C27" s="5">
        <f t="shared" si="0"/>
        <v>8500</v>
      </c>
      <c r="D27" s="13">
        <v>0.48530000000000001</v>
      </c>
      <c r="F27" s="19"/>
      <c r="I27" s="20"/>
      <c r="J27" s="26"/>
      <c r="L27" s="27"/>
      <c r="N27" s="6"/>
      <c r="P27" s="33"/>
      <c r="Q27" s="8"/>
      <c r="S27" s="5"/>
      <c r="T27" s="1"/>
      <c r="U27" s="1"/>
    </row>
    <row r="28" spans="2:21" ht="15" x14ac:dyDescent="0.4">
      <c r="B28" s="4" t="s">
        <v>7</v>
      </c>
      <c r="C28" s="5">
        <f t="shared" si="0"/>
        <v>8600</v>
      </c>
      <c r="D28" s="14">
        <v>0.48013333333333336</v>
      </c>
      <c r="F28" s="19"/>
      <c r="I28" s="20"/>
      <c r="J28" s="26"/>
      <c r="L28" s="27"/>
      <c r="N28" s="6"/>
      <c r="P28" s="33"/>
      <c r="Q28" s="8"/>
      <c r="S28" s="5"/>
      <c r="T28" s="1"/>
      <c r="U28" s="1"/>
    </row>
    <row r="29" spans="2:21" ht="15" x14ac:dyDescent="0.4">
      <c r="B29" s="4" t="s">
        <v>7</v>
      </c>
      <c r="C29" s="5">
        <f t="shared" si="0"/>
        <v>8700</v>
      </c>
      <c r="D29" s="14">
        <v>0.4749666666666667</v>
      </c>
      <c r="F29" s="19"/>
      <c r="I29" s="20"/>
      <c r="J29" s="26"/>
      <c r="L29" s="27"/>
      <c r="N29" s="6"/>
      <c r="P29" s="33"/>
      <c r="Q29" s="8"/>
      <c r="S29" s="5"/>
      <c r="T29" s="1"/>
      <c r="U29" s="1"/>
    </row>
    <row r="30" spans="2:21" ht="15" x14ac:dyDescent="0.4">
      <c r="B30" s="4" t="s">
        <v>7</v>
      </c>
      <c r="C30" s="5">
        <f t="shared" si="0"/>
        <v>8800</v>
      </c>
      <c r="D30" s="14">
        <v>0.46980000000000005</v>
      </c>
      <c r="F30" s="19"/>
      <c r="I30" s="20"/>
      <c r="J30" s="26"/>
      <c r="L30" s="27"/>
      <c r="N30" s="6"/>
      <c r="P30" s="33"/>
      <c r="Q30" s="8"/>
      <c r="S30" s="5"/>
      <c r="T30" s="1"/>
      <c r="U30" s="1"/>
    </row>
    <row r="31" spans="2:21" ht="15" x14ac:dyDescent="0.4">
      <c r="B31" s="4" t="s">
        <v>7</v>
      </c>
      <c r="C31" s="5">
        <f t="shared" si="0"/>
        <v>8900</v>
      </c>
      <c r="D31" s="14">
        <v>0.4646333333333334</v>
      </c>
      <c r="F31" s="19"/>
      <c r="I31" s="20"/>
      <c r="J31" s="26"/>
      <c r="L31" s="27"/>
      <c r="N31" s="6"/>
      <c r="P31" s="33"/>
      <c r="Q31" s="8"/>
      <c r="S31" s="5"/>
      <c r="T31" s="1"/>
      <c r="U31" s="1"/>
    </row>
    <row r="32" spans="2:21" ht="15" x14ac:dyDescent="0.4">
      <c r="B32" s="4" t="s">
        <v>7</v>
      </c>
      <c r="C32" s="5">
        <f t="shared" si="0"/>
        <v>9000</v>
      </c>
      <c r="D32" s="14">
        <v>0.45946666666666675</v>
      </c>
      <c r="F32" s="19"/>
      <c r="I32" s="20"/>
      <c r="J32" s="26"/>
      <c r="L32" s="27"/>
      <c r="N32" s="6"/>
      <c r="P32" s="33"/>
      <c r="Q32" s="8"/>
      <c r="S32" s="5"/>
      <c r="T32" s="1"/>
      <c r="U32" s="1"/>
    </row>
    <row r="33" spans="1:21" ht="15" x14ac:dyDescent="0.4">
      <c r="B33" s="4" t="s">
        <v>7</v>
      </c>
      <c r="C33" s="5">
        <f t="shared" si="0"/>
        <v>9100</v>
      </c>
      <c r="D33" s="14">
        <v>0.45430000000000009</v>
      </c>
      <c r="F33" s="19"/>
      <c r="I33" s="20"/>
      <c r="J33" s="26"/>
      <c r="L33" s="27"/>
      <c r="N33" s="6"/>
      <c r="P33" s="33"/>
      <c r="Q33" s="8"/>
      <c r="S33" s="5"/>
      <c r="T33" s="1"/>
      <c r="U33" s="1"/>
    </row>
    <row r="34" spans="1:21" ht="15" x14ac:dyDescent="0.4">
      <c r="B34" s="4" t="s">
        <v>7</v>
      </c>
      <c r="C34" s="5">
        <f t="shared" si="0"/>
        <v>9200</v>
      </c>
      <c r="D34" s="14">
        <v>0.44913333333333344</v>
      </c>
      <c r="F34" s="19"/>
      <c r="I34" s="20"/>
      <c r="J34" s="26"/>
      <c r="L34" s="27"/>
      <c r="N34" s="6"/>
      <c r="P34" s="33"/>
      <c r="Q34" s="8"/>
      <c r="S34" s="5"/>
      <c r="T34" s="1"/>
      <c r="U34" s="1"/>
    </row>
    <row r="35" spans="1:21" ht="15" x14ac:dyDescent="0.4">
      <c r="B35" s="4" t="s">
        <v>7</v>
      </c>
      <c r="C35" s="5">
        <f t="shared" si="0"/>
        <v>9300</v>
      </c>
      <c r="D35" s="14">
        <v>0.44396666666666679</v>
      </c>
      <c r="F35" s="19"/>
      <c r="I35" s="20"/>
      <c r="J35" s="26"/>
      <c r="L35" s="27"/>
      <c r="N35" s="6"/>
      <c r="P35" s="33"/>
      <c r="Q35" s="8"/>
      <c r="S35" s="5"/>
      <c r="T35" s="1"/>
      <c r="U35" s="1"/>
    </row>
    <row r="36" spans="1:21" ht="15" x14ac:dyDescent="0.4">
      <c r="B36" s="4" t="s">
        <v>7</v>
      </c>
      <c r="C36" s="5">
        <f t="shared" si="0"/>
        <v>9400</v>
      </c>
      <c r="D36" s="14">
        <v>0.43880000000000013</v>
      </c>
      <c r="F36" s="19"/>
      <c r="I36" s="20"/>
      <c r="J36" s="26"/>
      <c r="L36" s="27"/>
      <c r="N36" s="6"/>
      <c r="P36" s="33"/>
      <c r="Q36" s="8"/>
      <c r="S36" s="5"/>
      <c r="T36" s="1"/>
      <c r="U36" s="1"/>
    </row>
    <row r="37" spans="1:21" ht="15" x14ac:dyDescent="0.4">
      <c r="B37" s="4" t="s">
        <v>7</v>
      </c>
      <c r="C37" s="5">
        <f t="shared" si="0"/>
        <v>9500</v>
      </c>
      <c r="D37" s="14">
        <v>0.43363333333333348</v>
      </c>
      <c r="F37" s="19"/>
      <c r="I37" s="20"/>
      <c r="J37" s="26"/>
      <c r="L37" s="27"/>
      <c r="N37" s="6"/>
      <c r="P37" s="33"/>
      <c r="Q37" s="8"/>
      <c r="S37" s="5"/>
      <c r="T37" s="1"/>
      <c r="U37" s="1"/>
    </row>
    <row r="38" spans="1:21" ht="15" x14ac:dyDescent="0.4">
      <c r="B38" s="4" t="s">
        <v>7</v>
      </c>
      <c r="C38" s="5">
        <f t="shared" si="0"/>
        <v>9600</v>
      </c>
      <c r="D38" s="14">
        <v>0.42846666666666683</v>
      </c>
      <c r="F38" s="19"/>
      <c r="I38" s="20"/>
      <c r="J38" s="26"/>
      <c r="L38" s="27"/>
      <c r="N38" s="6"/>
      <c r="P38" s="33"/>
      <c r="Q38" s="8"/>
      <c r="S38" s="5"/>
      <c r="T38" s="1"/>
      <c r="U38" s="1"/>
    </row>
    <row r="39" spans="1:21" ht="15" x14ac:dyDescent="0.4">
      <c r="B39" s="4" t="s">
        <v>7</v>
      </c>
      <c r="C39" s="5">
        <f t="shared" si="0"/>
        <v>9700</v>
      </c>
      <c r="D39" s="13">
        <v>0.42330000000000001</v>
      </c>
      <c r="F39" s="19"/>
      <c r="I39" s="20"/>
      <c r="J39" s="26"/>
      <c r="L39" s="27"/>
      <c r="N39" s="6"/>
      <c r="P39" s="33"/>
      <c r="Q39" s="8"/>
      <c r="S39" s="5"/>
      <c r="T39" s="1"/>
      <c r="U39" s="1"/>
    </row>
    <row r="40" spans="1:21" ht="15" x14ac:dyDescent="0.4">
      <c r="B40" s="4" t="s">
        <v>7</v>
      </c>
      <c r="C40" s="5">
        <f t="shared" si="0"/>
        <v>9800</v>
      </c>
      <c r="D40" s="13">
        <v>0.41810000000000003</v>
      </c>
      <c r="F40" s="19"/>
      <c r="I40" s="20"/>
      <c r="J40" s="26"/>
      <c r="L40" s="27"/>
      <c r="N40" s="6"/>
      <c r="P40" s="33"/>
      <c r="Q40" s="8"/>
      <c r="S40" s="5"/>
      <c r="T40" s="1"/>
      <c r="U40" s="1"/>
    </row>
    <row r="41" spans="1:21" ht="15" x14ac:dyDescent="0.4">
      <c r="B41" s="4" t="s">
        <v>7</v>
      </c>
      <c r="C41" s="5">
        <f t="shared" si="0"/>
        <v>9900</v>
      </c>
      <c r="D41" s="14">
        <v>0.41295000000000004</v>
      </c>
      <c r="F41" s="19"/>
      <c r="I41" s="20"/>
      <c r="J41" s="26"/>
      <c r="L41" s="27"/>
      <c r="N41" s="6"/>
      <c r="P41" s="33"/>
      <c r="Q41" s="8"/>
      <c r="S41" s="5"/>
      <c r="T41" s="1"/>
      <c r="U41" s="1"/>
    </row>
    <row r="42" spans="1:21" ht="15" x14ac:dyDescent="0.4">
      <c r="B42" s="4" t="s">
        <v>7</v>
      </c>
      <c r="C42" s="5">
        <f t="shared" si="0"/>
        <v>10000</v>
      </c>
      <c r="D42" s="13">
        <v>0.4078</v>
      </c>
      <c r="F42" s="19"/>
      <c r="I42" s="20"/>
      <c r="J42" s="26"/>
      <c r="L42" s="27"/>
      <c r="N42" s="6"/>
      <c r="P42" s="33"/>
      <c r="Q42" s="8"/>
      <c r="S42" s="5"/>
      <c r="T42" s="1"/>
      <c r="U42" s="1"/>
    </row>
    <row r="43" spans="1:21" ht="15" x14ac:dyDescent="0.4">
      <c r="B43" s="4" t="s">
        <v>7</v>
      </c>
      <c r="C43" s="5">
        <f t="shared" si="0"/>
        <v>10100</v>
      </c>
      <c r="D43" s="14">
        <v>0.40259999999999996</v>
      </c>
      <c r="F43" s="19"/>
      <c r="I43" s="20"/>
      <c r="J43" s="26"/>
      <c r="L43" s="27"/>
      <c r="N43" s="6"/>
      <c r="P43" s="33"/>
      <c r="Q43" s="8"/>
      <c r="S43" s="5"/>
      <c r="T43" s="1"/>
      <c r="U43" s="1"/>
    </row>
    <row r="44" spans="1:21" ht="15" x14ac:dyDescent="0.4">
      <c r="B44" s="4" t="s">
        <v>7</v>
      </c>
      <c r="C44" s="5">
        <f t="shared" si="0"/>
        <v>10200</v>
      </c>
      <c r="D44" s="13">
        <v>0.39739999999999998</v>
      </c>
      <c r="F44" s="19"/>
      <c r="I44" s="20"/>
      <c r="J44" s="26"/>
      <c r="L44" s="27"/>
      <c r="N44" s="6"/>
      <c r="P44" s="33"/>
      <c r="Q44" s="8"/>
      <c r="S44" s="5"/>
      <c r="T44" s="1"/>
      <c r="U44" s="1"/>
    </row>
    <row r="45" spans="1:21" ht="15" x14ac:dyDescent="0.4">
      <c r="B45" s="4" t="s">
        <v>7</v>
      </c>
      <c r="C45" s="5">
        <f t="shared" si="0"/>
        <v>10300</v>
      </c>
      <c r="D45" s="13">
        <v>0.39229999999999998</v>
      </c>
      <c r="F45" s="19"/>
      <c r="I45" s="20"/>
      <c r="J45" s="26"/>
      <c r="L45" s="27"/>
      <c r="N45" s="6"/>
      <c r="P45" s="33"/>
      <c r="Q45" s="8"/>
      <c r="S45" s="5"/>
      <c r="T45" s="1"/>
      <c r="U45" s="1"/>
    </row>
    <row r="46" spans="1:21" ht="15.5" thickBot="1" x14ac:dyDescent="0.45">
      <c r="B46" s="4" t="s">
        <v>7</v>
      </c>
      <c r="C46" s="5">
        <f>C47-100</f>
        <v>10400</v>
      </c>
      <c r="D46" s="13">
        <v>0.3871</v>
      </c>
      <c r="F46" s="19"/>
      <c r="I46" s="20"/>
      <c r="J46" s="26"/>
      <c r="L46" s="27"/>
      <c r="N46" s="6"/>
      <c r="P46" s="33"/>
      <c r="Q46" s="8"/>
      <c r="S46" s="5"/>
      <c r="T46" s="1"/>
      <c r="U46" s="1"/>
    </row>
    <row r="47" spans="1:21" ht="15.5" thickBot="1" x14ac:dyDescent="0.45">
      <c r="A47" s="37" t="s">
        <v>21</v>
      </c>
      <c r="B47" s="31" t="s">
        <v>7</v>
      </c>
      <c r="C47" s="39">
        <v>10500</v>
      </c>
      <c r="D47" s="38">
        <v>0.38179999999999997</v>
      </c>
      <c r="F47" s="19"/>
      <c r="I47" s="20"/>
      <c r="J47" s="26"/>
      <c r="L47" s="27"/>
      <c r="N47" s="6"/>
      <c r="P47" s="33"/>
      <c r="Q47" s="8"/>
      <c r="S47" s="5"/>
      <c r="T47" s="1"/>
      <c r="U47" s="1"/>
    </row>
    <row r="48" spans="1:21" ht="15" x14ac:dyDescent="0.4">
      <c r="B48" s="4" t="s">
        <v>7</v>
      </c>
      <c r="C48" s="5">
        <f>C47+100</f>
        <v>10600</v>
      </c>
      <c r="D48" s="13">
        <v>0.37640000000000001</v>
      </c>
      <c r="F48" s="19"/>
      <c r="I48" s="20"/>
      <c r="J48" s="26"/>
      <c r="L48" s="27"/>
      <c r="N48" s="6"/>
      <c r="P48" s="33"/>
      <c r="Q48" s="8"/>
      <c r="S48" s="5"/>
      <c r="T48" s="1"/>
      <c r="U48" s="1"/>
    </row>
    <row r="49" spans="2:21" ht="15" x14ac:dyDescent="0.4">
      <c r="B49" s="4" t="s">
        <v>7</v>
      </c>
      <c r="C49" s="5">
        <f>C48+100</f>
        <v>10700</v>
      </c>
      <c r="D49" s="13">
        <v>0.371</v>
      </c>
      <c r="F49" s="19"/>
      <c r="I49" s="20"/>
      <c r="J49" s="26"/>
      <c r="L49" s="27"/>
      <c r="N49" s="6"/>
      <c r="P49" s="33"/>
      <c r="Q49" s="8"/>
      <c r="S49" s="5"/>
      <c r="T49" s="1"/>
      <c r="U49" s="1"/>
    </row>
    <row r="50" spans="2:21" ht="15" x14ac:dyDescent="0.4">
      <c r="B50" s="4" t="s">
        <v>7</v>
      </c>
      <c r="C50" s="40">
        <f>C49+100</f>
        <v>10800</v>
      </c>
      <c r="D50" s="13">
        <v>0.36549999999999999</v>
      </c>
      <c r="F50" s="19"/>
      <c r="I50" s="20"/>
      <c r="J50" s="26"/>
      <c r="L50" s="27"/>
      <c r="N50" s="6"/>
      <c r="P50" s="33"/>
      <c r="Q50" s="8"/>
      <c r="S50" s="5"/>
      <c r="T50" s="1"/>
      <c r="U50" s="1"/>
    </row>
    <row r="51" spans="2:21" ht="15" x14ac:dyDescent="0.4">
      <c r="B51" s="11" t="s">
        <v>8</v>
      </c>
      <c r="C51" s="5">
        <f>C50+100</f>
        <v>10900</v>
      </c>
      <c r="D51" s="15">
        <v>0.36009999999999998</v>
      </c>
      <c r="F51" s="19"/>
      <c r="I51" s="20"/>
      <c r="J51" s="26"/>
      <c r="L51" s="27"/>
      <c r="N51" s="6"/>
      <c r="P51" s="33"/>
      <c r="Q51" s="8"/>
      <c r="S51" s="5"/>
      <c r="T51" s="1"/>
      <c r="U51" s="1"/>
    </row>
    <row r="52" spans="2:21" ht="15" x14ac:dyDescent="0.4">
      <c r="B52" s="4" t="s">
        <v>8</v>
      </c>
      <c r="C52" s="5">
        <f t="shared" ref="C52:C70" si="1">C51+100</f>
        <v>11000</v>
      </c>
      <c r="D52" s="13">
        <v>0.35470000000000002</v>
      </c>
      <c r="F52" s="19"/>
      <c r="I52" s="20"/>
      <c r="J52" s="26"/>
      <c r="L52" s="27"/>
      <c r="N52" s="6"/>
      <c r="P52" s="33"/>
      <c r="Q52" s="8"/>
      <c r="S52" s="5"/>
      <c r="T52" s="1"/>
      <c r="U52" s="1"/>
    </row>
    <row r="53" spans="2:21" ht="15" x14ac:dyDescent="0.4">
      <c r="B53" s="4" t="s">
        <v>8</v>
      </c>
      <c r="C53" s="5">
        <f t="shared" si="1"/>
        <v>11100</v>
      </c>
      <c r="D53" s="13">
        <v>0.34920000000000001</v>
      </c>
      <c r="F53" s="19"/>
      <c r="I53" s="20"/>
      <c r="J53" s="26"/>
      <c r="L53" s="27"/>
      <c r="N53" s="6"/>
      <c r="P53" s="33"/>
      <c r="Q53" s="8"/>
      <c r="S53" s="5"/>
      <c r="T53" s="1"/>
      <c r="U53" s="1"/>
    </row>
    <row r="54" spans="2:21" ht="15" x14ac:dyDescent="0.4">
      <c r="B54" s="4" t="s">
        <v>8</v>
      </c>
      <c r="C54" s="5">
        <f t="shared" si="1"/>
        <v>11200</v>
      </c>
      <c r="D54" s="13">
        <v>0.34379999999999999</v>
      </c>
      <c r="F54" s="19"/>
      <c r="I54" s="20"/>
      <c r="J54" s="26"/>
      <c r="L54" s="27"/>
      <c r="N54" s="6"/>
      <c r="P54" s="33"/>
      <c r="Q54" s="8"/>
      <c r="S54" s="5"/>
      <c r="T54" s="1"/>
      <c r="U54" s="1"/>
    </row>
    <row r="55" spans="2:21" ht="15" x14ac:dyDescent="0.4">
      <c r="B55" s="4" t="s">
        <v>8</v>
      </c>
      <c r="C55" s="5">
        <f t="shared" si="1"/>
        <v>11300</v>
      </c>
      <c r="D55" s="13">
        <v>0.33829999999999999</v>
      </c>
      <c r="F55" s="19"/>
      <c r="I55" s="20"/>
      <c r="J55" s="26"/>
      <c r="L55" s="27"/>
      <c r="N55" s="6"/>
      <c r="P55" s="33"/>
      <c r="Q55" s="8"/>
      <c r="S55" s="5"/>
      <c r="T55" s="1"/>
      <c r="U55" s="1"/>
    </row>
    <row r="56" spans="2:21" ht="15" x14ac:dyDescent="0.4">
      <c r="B56" s="4" t="s">
        <v>8</v>
      </c>
      <c r="C56" s="5">
        <f t="shared" si="1"/>
        <v>11400</v>
      </c>
      <c r="D56" s="13">
        <v>0.33289999999999997</v>
      </c>
      <c r="F56" s="19"/>
      <c r="I56" s="20"/>
      <c r="J56" s="26"/>
      <c r="L56" s="27"/>
      <c r="N56" s="6"/>
      <c r="P56" s="33"/>
      <c r="Q56" s="8"/>
      <c r="S56" s="5"/>
      <c r="T56" s="1"/>
      <c r="U56" s="1"/>
    </row>
    <row r="57" spans="2:21" ht="15" x14ac:dyDescent="0.4">
      <c r="B57" s="4" t="s">
        <v>8</v>
      </c>
      <c r="C57" s="5">
        <f t="shared" si="1"/>
        <v>11500</v>
      </c>
      <c r="D57" s="13">
        <v>0.32750000000000001</v>
      </c>
      <c r="F57" s="19"/>
      <c r="I57" s="20"/>
      <c r="J57" s="26"/>
      <c r="L57" s="27"/>
      <c r="N57" s="6"/>
      <c r="P57" s="33"/>
      <c r="Q57" s="8"/>
      <c r="S57" s="5"/>
      <c r="T57" s="1"/>
      <c r="U57" s="1"/>
    </row>
    <row r="58" spans="2:21" ht="15" x14ac:dyDescent="0.4">
      <c r="B58" s="4" t="s">
        <v>8</v>
      </c>
      <c r="C58" s="5">
        <f t="shared" si="1"/>
        <v>11600</v>
      </c>
      <c r="D58" s="13">
        <v>0.32200000000000001</v>
      </c>
      <c r="F58" s="19"/>
      <c r="I58" s="20"/>
      <c r="J58" s="26"/>
      <c r="L58" s="27"/>
      <c r="N58" s="6"/>
      <c r="P58" s="33"/>
      <c r="Q58" s="8"/>
      <c r="S58" s="5"/>
      <c r="T58" s="1"/>
      <c r="U58" s="1"/>
    </row>
    <row r="59" spans="2:21" ht="15" x14ac:dyDescent="0.4">
      <c r="B59" s="4" t="s">
        <v>8</v>
      </c>
      <c r="C59" s="5">
        <f t="shared" si="1"/>
        <v>11700</v>
      </c>
      <c r="D59" s="13">
        <v>0.31659999999999999</v>
      </c>
      <c r="F59" s="19"/>
      <c r="I59" s="20"/>
      <c r="J59" s="26"/>
      <c r="L59" s="27"/>
      <c r="N59" s="6"/>
      <c r="P59" s="33"/>
      <c r="Q59" s="8"/>
      <c r="S59" s="5"/>
      <c r="T59" s="1"/>
      <c r="U59" s="1"/>
    </row>
    <row r="60" spans="2:21" ht="15" x14ac:dyDescent="0.4">
      <c r="B60" s="4" t="s">
        <v>8</v>
      </c>
      <c r="C60" s="5">
        <f t="shared" si="1"/>
        <v>11800</v>
      </c>
      <c r="D60" s="13">
        <v>0.31119999999999998</v>
      </c>
      <c r="F60" s="19"/>
      <c r="I60" s="20"/>
      <c r="J60" s="26"/>
      <c r="L60" s="27"/>
      <c r="N60" s="6"/>
      <c r="P60" s="33"/>
      <c r="Q60" s="8"/>
      <c r="S60" s="5"/>
      <c r="T60" s="1"/>
      <c r="U60" s="1"/>
    </row>
    <row r="61" spans="2:21" ht="15" x14ac:dyDescent="0.4">
      <c r="B61" s="4" t="s">
        <v>8</v>
      </c>
      <c r="C61" s="5">
        <f t="shared" si="1"/>
        <v>11900</v>
      </c>
      <c r="D61" s="13">
        <v>0.30570000000000003</v>
      </c>
      <c r="F61" s="19"/>
      <c r="I61" s="20"/>
      <c r="J61" s="26"/>
      <c r="L61" s="27"/>
      <c r="N61" s="6"/>
      <c r="P61" s="33"/>
      <c r="Q61" s="8"/>
      <c r="S61" s="5"/>
      <c r="T61" s="1"/>
      <c r="U61" s="1"/>
    </row>
    <row r="62" spans="2:21" ht="15" x14ac:dyDescent="0.4">
      <c r="B62" s="4" t="s">
        <v>8</v>
      </c>
      <c r="C62" s="5">
        <f t="shared" si="1"/>
        <v>12000</v>
      </c>
      <c r="D62" s="13">
        <v>0.3</v>
      </c>
      <c r="F62" s="19"/>
      <c r="I62" s="20"/>
      <c r="J62" s="26"/>
      <c r="L62" s="27"/>
      <c r="N62" s="6"/>
      <c r="P62" s="33"/>
      <c r="Q62" s="8"/>
      <c r="S62" s="5"/>
      <c r="T62" s="1"/>
      <c r="U62" s="1"/>
    </row>
    <row r="63" spans="2:21" ht="15" x14ac:dyDescent="0.4">
      <c r="B63" s="4" t="s">
        <v>8</v>
      </c>
      <c r="C63" s="5">
        <f t="shared" si="1"/>
        <v>12100</v>
      </c>
      <c r="D63" s="13">
        <v>0.29480000000000001</v>
      </c>
      <c r="F63" s="19"/>
      <c r="I63" s="20"/>
      <c r="J63" s="26"/>
      <c r="L63" s="27"/>
      <c r="N63" s="6"/>
      <c r="P63" s="33"/>
      <c r="Q63" s="8"/>
      <c r="S63" s="5"/>
      <c r="T63" s="1"/>
      <c r="U63" s="1"/>
    </row>
    <row r="64" spans="2:21" ht="15" x14ac:dyDescent="0.4">
      <c r="B64" s="4" t="s">
        <v>8</v>
      </c>
      <c r="C64" s="5">
        <f t="shared" si="1"/>
        <v>12200</v>
      </c>
      <c r="D64" s="13">
        <v>0.28939999999999999</v>
      </c>
      <c r="F64" s="19"/>
      <c r="I64" s="20"/>
      <c r="J64" s="26"/>
      <c r="L64" s="27"/>
      <c r="N64" s="6"/>
      <c r="P64" s="33"/>
      <c r="Q64" s="8"/>
      <c r="S64" s="5"/>
      <c r="T64" s="1"/>
      <c r="U64" s="1"/>
    </row>
    <row r="65" spans="1:21" ht="15" x14ac:dyDescent="0.4">
      <c r="B65" s="4" t="s">
        <v>8</v>
      </c>
      <c r="C65" s="5">
        <f t="shared" si="1"/>
        <v>12300</v>
      </c>
      <c r="D65" s="13">
        <v>0.28399999999999997</v>
      </c>
      <c r="F65" s="19"/>
      <c r="I65" s="20"/>
      <c r="J65" s="26"/>
      <c r="L65" s="27"/>
      <c r="N65" s="6"/>
      <c r="P65" s="33"/>
      <c r="Q65" s="8"/>
      <c r="S65" s="5"/>
      <c r="T65" s="1"/>
      <c r="U65" s="1"/>
    </row>
    <row r="66" spans="1:21" ht="15" x14ac:dyDescent="0.4">
      <c r="B66" s="4" t="s">
        <v>8</v>
      </c>
      <c r="C66" s="5">
        <f t="shared" si="1"/>
        <v>12400</v>
      </c>
      <c r="D66" s="13">
        <v>0.27850000000000003</v>
      </c>
      <c r="F66" s="19"/>
      <c r="I66" s="20"/>
      <c r="J66" s="26"/>
      <c r="L66" s="27"/>
      <c r="N66" s="6"/>
      <c r="P66" s="33"/>
      <c r="Q66" s="8"/>
      <c r="S66" s="5"/>
      <c r="T66" s="1"/>
      <c r="U66" s="1"/>
    </row>
    <row r="67" spans="1:21" ht="15" x14ac:dyDescent="0.4">
      <c r="B67" s="4" t="s">
        <v>8</v>
      </c>
      <c r="C67" s="5">
        <f t="shared" si="1"/>
        <v>12500</v>
      </c>
      <c r="D67" s="13">
        <v>0.27310000000000001</v>
      </c>
      <c r="F67" s="19"/>
      <c r="I67" s="20"/>
      <c r="J67" s="26"/>
      <c r="L67" s="27"/>
      <c r="N67" s="6"/>
      <c r="P67" s="33"/>
      <c r="Q67" s="8"/>
      <c r="S67" s="5"/>
      <c r="T67" s="1"/>
      <c r="U67" s="1"/>
    </row>
    <row r="68" spans="1:21" ht="15" x14ac:dyDescent="0.4">
      <c r="B68" s="4" t="s">
        <v>8</v>
      </c>
      <c r="C68" s="5">
        <f t="shared" si="1"/>
        <v>12600</v>
      </c>
      <c r="D68" s="13">
        <v>0.26769999999999999</v>
      </c>
      <c r="F68" s="19"/>
      <c r="I68" s="20"/>
      <c r="J68" s="26"/>
      <c r="L68" s="27"/>
      <c r="N68" s="6"/>
      <c r="P68" s="33"/>
      <c r="Q68" s="8"/>
      <c r="S68" s="5"/>
      <c r="T68" s="1"/>
      <c r="U68" s="1"/>
    </row>
    <row r="69" spans="1:21" ht="15" x14ac:dyDescent="0.4">
      <c r="A69" s="1"/>
      <c r="B69" s="4" t="s">
        <v>8</v>
      </c>
      <c r="C69" s="5">
        <f t="shared" si="1"/>
        <v>12700</v>
      </c>
      <c r="D69" s="14">
        <v>0.26224999999999998</v>
      </c>
      <c r="F69" s="19"/>
      <c r="I69" s="20"/>
      <c r="J69" s="26"/>
      <c r="L69" s="27"/>
      <c r="N69" s="6"/>
      <c r="P69" s="33"/>
      <c r="Q69" s="8"/>
      <c r="S69" s="5"/>
      <c r="T69" s="1"/>
      <c r="U69" s="1"/>
    </row>
    <row r="70" spans="1:21" ht="15.5" thickBot="1" x14ac:dyDescent="0.45">
      <c r="B70" s="4" t="s">
        <v>8</v>
      </c>
      <c r="C70" s="5">
        <f t="shared" si="1"/>
        <v>12800</v>
      </c>
      <c r="D70" s="13">
        <v>0.25679999999999997</v>
      </c>
      <c r="F70" s="21"/>
      <c r="G70" s="22"/>
      <c r="H70" s="22"/>
      <c r="I70" s="23"/>
      <c r="J70" s="28"/>
      <c r="K70" s="22"/>
      <c r="L70" s="29"/>
      <c r="N70" s="30"/>
      <c r="O70" s="7"/>
      <c r="P70" s="34"/>
      <c r="Q70" s="12"/>
      <c r="S70" s="5"/>
      <c r="T70" s="1"/>
      <c r="U70" s="1"/>
    </row>
    <row r="71" spans="1:21" x14ac:dyDescent="0.35">
      <c r="N71" s="10"/>
    </row>
    <row r="72" spans="1:21" x14ac:dyDescent="0.35">
      <c r="N72" s="10"/>
      <c r="Q72" s="1"/>
    </row>
    <row r="73" spans="1:21" ht="15" thickBot="1" x14ac:dyDescent="0.4">
      <c r="N73" s="10"/>
    </row>
    <row r="74" spans="1:21" ht="15" thickBot="1" x14ac:dyDescent="0.4">
      <c r="C74" s="2" t="s">
        <v>2</v>
      </c>
      <c r="D74" s="2" t="s">
        <v>3</v>
      </c>
      <c r="J74" s="51" t="s">
        <v>16</v>
      </c>
      <c r="K74" s="52"/>
      <c r="L74" s="53"/>
      <c r="Q74" s="35" t="s">
        <v>17</v>
      </c>
    </row>
    <row r="75" spans="1:21" ht="15.5" thickBot="1" x14ac:dyDescent="0.45">
      <c r="C75" s="3">
        <v>0</v>
      </c>
      <c r="F75" s="47" t="s">
        <v>12</v>
      </c>
      <c r="G75" s="48" t="s">
        <v>13</v>
      </c>
      <c r="H75" s="48" t="s">
        <v>14</v>
      </c>
      <c r="I75" s="48" t="s">
        <v>15</v>
      </c>
      <c r="J75" s="47" t="s">
        <v>9</v>
      </c>
      <c r="K75" s="48" t="s">
        <v>10</v>
      </c>
      <c r="L75" s="49" t="s">
        <v>11</v>
      </c>
      <c r="Q75" s="46">
        <f>SUM(Q76:Q122)</f>
        <v>0</v>
      </c>
    </row>
    <row r="76" spans="1:21" ht="15" x14ac:dyDescent="0.4">
      <c r="B76" s="4" t="s">
        <v>7</v>
      </c>
      <c r="C76" s="5">
        <f>C24</f>
        <v>8200</v>
      </c>
      <c r="D76" s="13">
        <f>$D$47</f>
        <v>0.38179999999999997</v>
      </c>
      <c r="F76" s="16"/>
      <c r="G76" s="17"/>
      <c r="H76" s="17"/>
      <c r="I76" s="18"/>
      <c r="J76" s="24"/>
      <c r="K76" s="17"/>
      <c r="L76" s="25"/>
      <c r="N76" s="30"/>
      <c r="O76" s="7"/>
      <c r="P76" s="32"/>
      <c r="Q76" s="8"/>
    </row>
    <row r="77" spans="1:21" ht="15" x14ac:dyDescent="0.4">
      <c r="B77" s="4" t="s">
        <v>7</v>
      </c>
      <c r="C77" s="5">
        <f t="shared" ref="C77:C122" si="2">C25</f>
        <v>8300</v>
      </c>
      <c r="D77" s="13">
        <f t="shared" ref="D77:D122" si="3">$D$47</f>
        <v>0.38179999999999997</v>
      </c>
      <c r="F77" s="19"/>
      <c r="I77" s="20"/>
      <c r="J77" s="26"/>
      <c r="L77" s="27"/>
      <c r="N77" s="6"/>
      <c r="P77" s="33"/>
      <c r="Q77" s="8"/>
    </row>
    <row r="78" spans="1:21" ht="15" x14ac:dyDescent="0.4">
      <c r="B78" s="4" t="s">
        <v>7</v>
      </c>
      <c r="C78" s="5">
        <f t="shared" si="2"/>
        <v>8400</v>
      </c>
      <c r="D78" s="13">
        <f t="shared" si="3"/>
        <v>0.38179999999999997</v>
      </c>
      <c r="F78" s="19"/>
      <c r="I78" s="20"/>
      <c r="J78" s="26"/>
      <c r="L78" s="27"/>
      <c r="N78" s="6"/>
      <c r="P78" s="33"/>
      <c r="Q78" s="8"/>
    </row>
    <row r="79" spans="1:21" ht="15" x14ac:dyDescent="0.4">
      <c r="B79" s="4" t="s">
        <v>7</v>
      </c>
      <c r="C79" s="5">
        <f t="shared" si="2"/>
        <v>8500</v>
      </c>
      <c r="D79" s="13">
        <f t="shared" si="3"/>
        <v>0.38179999999999997</v>
      </c>
      <c r="F79" s="19"/>
      <c r="I79" s="20"/>
      <c r="J79" s="26"/>
      <c r="L79" s="27"/>
      <c r="N79" s="6"/>
      <c r="P79" s="33"/>
      <c r="Q79" s="8"/>
    </row>
    <row r="80" spans="1:21" ht="15" x14ac:dyDescent="0.4">
      <c r="B80" s="4" t="s">
        <v>7</v>
      </c>
      <c r="C80" s="5">
        <f t="shared" si="2"/>
        <v>8600</v>
      </c>
      <c r="D80" s="13">
        <f t="shared" si="3"/>
        <v>0.38179999999999997</v>
      </c>
      <c r="F80" s="19"/>
      <c r="I80" s="20"/>
      <c r="J80" s="26"/>
      <c r="L80" s="27"/>
      <c r="N80" s="6"/>
      <c r="P80" s="33"/>
      <c r="Q80" s="8"/>
    </row>
    <row r="81" spans="2:17" ht="15" x14ac:dyDescent="0.4">
      <c r="B81" s="4" t="s">
        <v>7</v>
      </c>
      <c r="C81" s="5">
        <f t="shared" si="2"/>
        <v>8700</v>
      </c>
      <c r="D81" s="13">
        <f t="shared" si="3"/>
        <v>0.38179999999999997</v>
      </c>
      <c r="F81" s="19"/>
      <c r="I81" s="20"/>
      <c r="J81" s="26"/>
      <c r="L81" s="27"/>
      <c r="N81" s="6"/>
      <c r="P81" s="33"/>
      <c r="Q81" s="8"/>
    </row>
    <row r="82" spans="2:17" ht="15" x14ac:dyDescent="0.4">
      <c r="B82" s="4" t="s">
        <v>7</v>
      </c>
      <c r="C82" s="5">
        <f t="shared" si="2"/>
        <v>8800</v>
      </c>
      <c r="D82" s="13">
        <f t="shared" si="3"/>
        <v>0.38179999999999997</v>
      </c>
      <c r="F82" s="19"/>
      <c r="I82" s="20"/>
      <c r="J82" s="26"/>
      <c r="L82" s="27"/>
      <c r="N82" s="6"/>
      <c r="P82" s="33"/>
      <c r="Q82" s="8"/>
    </row>
    <row r="83" spans="2:17" ht="15" x14ac:dyDescent="0.4">
      <c r="B83" s="4" t="s">
        <v>7</v>
      </c>
      <c r="C83" s="5">
        <f t="shared" si="2"/>
        <v>8900</v>
      </c>
      <c r="D83" s="13">
        <f t="shared" si="3"/>
        <v>0.38179999999999997</v>
      </c>
      <c r="F83" s="19"/>
      <c r="I83" s="20"/>
      <c r="J83" s="26"/>
      <c r="L83" s="27"/>
      <c r="N83" s="6"/>
      <c r="P83" s="33"/>
      <c r="Q83" s="8"/>
    </row>
    <row r="84" spans="2:17" ht="15" x14ac:dyDescent="0.4">
      <c r="B84" s="4" t="s">
        <v>7</v>
      </c>
      <c r="C84" s="5">
        <f t="shared" si="2"/>
        <v>9000</v>
      </c>
      <c r="D84" s="13">
        <f t="shared" si="3"/>
        <v>0.38179999999999997</v>
      </c>
      <c r="F84" s="19"/>
      <c r="I84" s="20"/>
      <c r="J84" s="26"/>
      <c r="L84" s="27"/>
      <c r="N84" s="6"/>
      <c r="P84" s="33"/>
      <c r="Q84" s="8"/>
    </row>
    <row r="85" spans="2:17" ht="15" x14ac:dyDescent="0.4">
      <c r="B85" s="4" t="s">
        <v>7</v>
      </c>
      <c r="C85" s="5">
        <f t="shared" si="2"/>
        <v>9100</v>
      </c>
      <c r="D85" s="13">
        <f t="shared" si="3"/>
        <v>0.38179999999999997</v>
      </c>
      <c r="F85" s="19"/>
      <c r="I85" s="20"/>
      <c r="J85" s="26"/>
      <c r="L85" s="27"/>
      <c r="N85" s="6"/>
      <c r="P85" s="33"/>
      <c r="Q85" s="8"/>
    </row>
    <row r="86" spans="2:17" ht="15" x14ac:dyDescent="0.4">
      <c r="B86" s="4" t="s">
        <v>7</v>
      </c>
      <c r="C86" s="5">
        <f t="shared" si="2"/>
        <v>9200</v>
      </c>
      <c r="D86" s="13">
        <f t="shared" si="3"/>
        <v>0.38179999999999997</v>
      </c>
      <c r="F86" s="19"/>
      <c r="I86" s="20"/>
      <c r="J86" s="26"/>
      <c r="L86" s="27"/>
      <c r="N86" s="6"/>
      <c r="P86" s="33"/>
      <c r="Q86" s="8"/>
    </row>
    <row r="87" spans="2:17" ht="15" x14ac:dyDescent="0.4">
      <c r="B87" s="4" t="s">
        <v>7</v>
      </c>
      <c r="C87" s="5">
        <f t="shared" si="2"/>
        <v>9300</v>
      </c>
      <c r="D87" s="13">
        <f t="shared" si="3"/>
        <v>0.38179999999999997</v>
      </c>
      <c r="F87" s="19"/>
      <c r="I87" s="20"/>
      <c r="J87" s="26"/>
      <c r="L87" s="27"/>
      <c r="N87" s="6"/>
      <c r="P87" s="33"/>
      <c r="Q87" s="8"/>
    </row>
    <row r="88" spans="2:17" ht="15" x14ac:dyDescent="0.4">
      <c r="B88" s="4" t="s">
        <v>7</v>
      </c>
      <c r="C88" s="5">
        <f t="shared" si="2"/>
        <v>9400</v>
      </c>
      <c r="D88" s="13">
        <f t="shared" si="3"/>
        <v>0.38179999999999997</v>
      </c>
      <c r="F88" s="19"/>
      <c r="I88" s="20"/>
      <c r="J88" s="26"/>
      <c r="L88" s="27"/>
      <c r="N88" s="6"/>
      <c r="P88" s="33"/>
      <c r="Q88" s="8"/>
    </row>
    <row r="89" spans="2:17" ht="15" x14ac:dyDescent="0.4">
      <c r="B89" s="4" t="s">
        <v>7</v>
      </c>
      <c r="C89" s="5">
        <f t="shared" si="2"/>
        <v>9500</v>
      </c>
      <c r="D89" s="13">
        <f t="shared" si="3"/>
        <v>0.38179999999999997</v>
      </c>
      <c r="F89" s="19"/>
      <c r="I89" s="20"/>
      <c r="J89" s="26"/>
      <c r="L89" s="27"/>
      <c r="N89" s="6"/>
      <c r="P89" s="33"/>
      <c r="Q89" s="8"/>
    </row>
    <row r="90" spans="2:17" ht="15" x14ac:dyDescent="0.4">
      <c r="B90" s="4" t="s">
        <v>7</v>
      </c>
      <c r="C90" s="5">
        <f t="shared" si="2"/>
        <v>9600</v>
      </c>
      <c r="D90" s="13">
        <f t="shared" si="3"/>
        <v>0.38179999999999997</v>
      </c>
      <c r="F90" s="19"/>
      <c r="I90" s="20"/>
      <c r="J90" s="26"/>
      <c r="L90" s="27"/>
      <c r="N90" s="6"/>
      <c r="P90" s="33"/>
      <c r="Q90" s="8"/>
    </row>
    <row r="91" spans="2:17" ht="15" x14ac:dyDescent="0.4">
      <c r="B91" s="4" t="s">
        <v>7</v>
      </c>
      <c r="C91" s="5">
        <f t="shared" si="2"/>
        <v>9700</v>
      </c>
      <c r="D91" s="13">
        <f t="shared" si="3"/>
        <v>0.38179999999999997</v>
      </c>
      <c r="F91" s="19"/>
      <c r="I91" s="20"/>
      <c r="J91" s="26"/>
      <c r="L91" s="27"/>
      <c r="N91" s="6"/>
      <c r="P91" s="33"/>
      <c r="Q91" s="8"/>
    </row>
    <row r="92" spans="2:17" ht="15" x14ac:dyDescent="0.4">
      <c r="B92" s="4" t="s">
        <v>7</v>
      </c>
      <c r="C92" s="5">
        <f t="shared" si="2"/>
        <v>9800</v>
      </c>
      <c r="D92" s="13">
        <f t="shared" si="3"/>
        <v>0.38179999999999997</v>
      </c>
      <c r="F92" s="19"/>
      <c r="I92" s="20"/>
      <c r="J92" s="26"/>
      <c r="L92" s="27"/>
      <c r="N92" s="6"/>
      <c r="P92" s="33"/>
      <c r="Q92" s="8"/>
    </row>
    <row r="93" spans="2:17" ht="15" x14ac:dyDescent="0.4">
      <c r="B93" s="4" t="s">
        <v>7</v>
      </c>
      <c r="C93" s="5">
        <f t="shared" si="2"/>
        <v>9900</v>
      </c>
      <c r="D93" s="13">
        <f t="shared" si="3"/>
        <v>0.38179999999999997</v>
      </c>
      <c r="F93" s="19"/>
      <c r="I93" s="20"/>
      <c r="J93" s="26"/>
      <c r="L93" s="27"/>
      <c r="N93" s="6"/>
      <c r="P93" s="33"/>
      <c r="Q93" s="8"/>
    </row>
    <row r="94" spans="2:17" ht="15" x14ac:dyDescent="0.4">
      <c r="B94" s="4" t="s">
        <v>7</v>
      </c>
      <c r="C94" s="5">
        <f t="shared" si="2"/>
        <v>10000</v>
      </c>
      <c r="D94" s="13">
        <f t="shared" si="3"/>
        <v>0.38179999999999997</v>
      </c>
      <c r="F94" s="19"/>
      <c r="I94" s="20"/>
      <c r="J94" s="26"/>
      <c r="L94" s="27"/>
      <c r="N94" s="6"/>
      <c r="P94" s="33"/>
      <c r="Q94" s="8"/>
    </row>
    <row r="95" spans="2:17" ht="15" x14ac:dyDescent="0.4">
      <c r="B95" s="4" t="s">
        <v>7</v>
      </c>
      <c r="C95" s="5">
        <f t="shared" si="2"/>
        <v>10100</v>
      </c>
      <c r="D95" s="13">
        <f t="shared" si="3"/>
        <v>0.38179999999999997</v>
      </c>
      <c r="F95" s="19"/>
      <c r="I95" s="20"/>
      <c r="J95" s="26"/>
      <c r="L95" s="27"/>
      <c r="N95" s="6"/>
      <c r="P95" s="33"/>
      <c r="Q95" s="8"/>
    </row>
    <row r="96" spans="2:17" ht="15" x14ac:dyDescent="0.4">
      <c r="B96" s="4" t="s">
        <v>7</v>
      </c>
      <c r="C96" s="5">
        <f t="shared" si="2"/>
        <v>10200</v>
      </c>
      <c r="D96" s="13">
        <f t="shared" si="3"/>
        <v>0.38179999999999997</v>
      </c>
      <c r="F96" s="19"/>
      <c r="I96" s="20"/>
      <c r="J96" s="26"/>
      <c r="L96" s="27"/>
      <c r="N96" s="6"/>
      <c r="P96" s="33"/>
      <c r="Q96" s="8"/>
    </row>
    <row r="97" spans="2:17" ht="15" x14ac:dyDescent="0.4">
      <c r="B97" s="4" t="s">
        <v>7</v>
      </c>
      <c r="C97" s="5">
        <f t="shared" si="2"/>
        <v>10300</v>
      </c>
      <c r="D97" s="13">
        <f t="shared" si="3"/>
        <v>0.38179999999999997</v>
      </c>
      <c r="F97" s="19"/>
      <c r="I97" s="20"/>
      <c r="J97" s="26"/>
      <c r="L97" s="27"/>
      <c r="N97" s="6"/>
      <c r="P97" s="33"/>
      <c r="Q97" s="8"/>
    </row>
    <row r="98" spans="2:17" ht="15" x14ac:dyDescent="0.4">
      <c r="B98" s="4" t="s">
        <v>7</v>
      </c>
      <c r="C98" s="5">
        <f t="shared" si="2"/>
        <v>10400</v>
      </c>
      <c r="D98" s="13">
        <f t="shared" si="3"/>
        <v>0.38179999999999997</v>
      </c>
      <c r="F98" s="19"/>
      <c r="I98" s="20"/>
      <c r="J98" s="26"/>
      <c r="L98" s="27"/>
      <c r="N98" s="6"/>
      <c r="P98" s="33"/>
      <c r="Q98" s="8"/>
    </row>
    <row r="99" spans="2:17" ht="15" x14ac:dyDescent="0.4">
      <c r="B99" s="4" t="s">
        <v>7</v>
      </c>
      <c r="C99" s="5">
        <f t="shared" si="2"/>
        <v>10500</v>
      </c>
      <c r="D99" s="13">
        <f t="shared" si="3"/>
        <v>0.38179999999999997</v>
      </c>
      <c r="F99" s="19"/>
      <c r="I99" s="20"/>
      <c r="J99" s="26"/>
      <c r="L99" s="27"/>
      <c r="N99" s="6"/>
      <c r="P99" s="33"/>
      <c r="Q99" s="8"/>
    </row>
    <row r="100" spans="2:17" ht="15" x14ac:dyDescent="0.4">
      <c r="B100" s="4" t="s">
        <v>7</v>
      </c>
      <c r="C100" s="5">
        <f t="shared" si="2"/>
        <v>10600</v>
      </c>
      <c r="D100" s="13">
        <f t="shared" si="3"/>
        <v>0.38179999999999997</v>
      </c>
      <c r="F100" s="19"/>
      <c r="I100" s="20"/>
      <c r="J100" s="26"/>
      <c r="L100" s="27"/>
      <c r="N100" s="6"/>
      <c r="P100" s="33"/>
      <c r="Q100" s="8"/>
    </row>
    <row r="101" spans="2:17" ht="15" x14ac:dyDescent="0.4">
      <c r="B101" s="4" t="s">
        <v>7</v>
      </c>
      <c r="C101" s="5">
        <f t="shared" si="2"/>
        <v>10700</v>
      </c>
      <c r="D101" s="13">
        <f t="shared" si="3"/>
        <v>0.38179999999999997</v>
      </c>
      <c r="F101" s="19"/>
      <c r="I101" s="20"/>
      <c r="J101" s="26"/>
      <c r="L101" s="27"/>
      <c r="N101" s="6"/>
      <c r="P101" s="33"/>
      <c r="Q101" s="8"/>
    </row>
    <row r="102" spans="2:17" ht="15" x14ac:dyDescent="0.4">
      <c r="B102" s="4" t="s">
        <v>7</v>
      </c>
      <c r="C102" s="5">
        <f t="shared" si="2"/>
        <v>10800</v>
      </c>
      <c r="D102" s="13">
        <f t="shared" si="3"/>
        <v>0.38179999999999997</v>
      </c>
      <c r="F102" s="19"/>
      <c r="I102" s="20"/>
      <c r="J102" s="26"/>
      <c r="L102" s="27"/>
      <c r="N102" s="6"/>
      <c r="P102" s="33"/>
      <c r="Q102" s="8"/>
    </row>
    <row r="103" spans="2:17" ht="15" x14ac:dyDescent="0.4">
      <c r="B103" s="11" t="s">
        <v>8</v>
      </c>
      <c r="C103" s="5">
        <f t="shared" si="2"/>
        <v>10900</v>
      </c>
      <c r="D103" s="13">
        <f t="shared" si="3"/>
        <v>0.38179999999999997</v>
      </c>
      <c r="F103" s="19"/>
      <c r="I103" s="20"/>
      <c r="J103" s="26"/>
      <c r="L103" s="27"/>
      <c r="N103" s="6"/>
      <c r="P103" s="33"/>
      <c r="Q103" s="8"/>
    </row>
    <row r="104" spans="2:17" ht="15" x14ac:dyDescent="0.4">
      <c r="B104" s="4" t="s">
        <v>8</v>
      </c>
      <c r="C104" s="5">
        <f t="shared" si="2"/>
        <v>11000</v>
      </c>
      <c r="D104" s="13">
        <f t="shared" si="3"/>
        <v>0.38179999999999997</v>
      </c>
      <c r="F104" s="19"/>
      <c r="I104" s="20"/>
      <c r="J104" s="26"/>
      <c r="L104" s="27"/>
      <c r="N104" s="6"/>
      <c r="P104" s="33"/>
      <c r="Q104" s="8"/>
    </row>
    <row r="105" spans="2:17" ht="15" x14ac:dyDescent="0.4">
      <c r="B105" s="4" t="s">
        <v>8</v>
      </c>
      <c r="C105" s="5">
        <f t="shared" si="2"/>
        <v>11100</v>
      </c>
      <c r="D105" s="13">
        <f t="shared" si="3"/>
        <v>0.38179999999999997</v>
      </c>
      <c r="F105" s="19"/>
      <c r="I105" s="20"/>
      <c r="J105" s="26"/>
      <c r="L105" s="27"/>
      <c r="N105" s="6"/>
      <c r="P105" s="33"/>
      <c r="Q105" s="8"/>
    </row>
    <row r="106" spans="2:17" ht="15" x14ac:dyDescent="0.4">
      <c r="B106" s="4" t="s">
        <v>8</v>
      </c>
      <c r="C106" s="5">
        <f t="shared" si="2"/>
        <v>11200</v>
      </c>
      <c r="D106" s="13">
        <f t="shared" si="3"/>
        <v>0.38179999999999997</v>
      </c>
      <c r="F106" s="19"/>
      <c r="I106" s="20"/>
      <c r="J106" s="26"/>
      <c r="L106" s="27"/>
      <c r="N106" s="6"/>
      <c r="P106" s="33"/>
      <c r="Q106" s="8"/>
    </row>
    <row r="107" spans="2:17" ht="15" x14ac:dyDescent="0.4">
      <c r="B107" s="4" t="s">
        <v>8</v>
      </c>
      <c r="C107" s="5">
        <f t="shared" si="2"/>
        <v>11300</v>
      </c>
      <c r="D107" s="13">
        <f t="shared" si="3"/>
        <v>0.38179999999999997</v>
      </c>
      <c r="F107" s="19"/>
      <c r="I107" s="20"/>
      <c r="J107" s="26"/>
      <c r="L107" s="27"/>
      <c r="N107" s="6"/>
      <c r="P107" s="33"/>
      <c r="Q107" s="8"/>
    </row>
    <row r="108" spans="2:17" ht="15" x14ac:dyDescent="0.4">
      <c r="B108" s="4" t="s">
        <v>8</v>
      </c>
      <c r="C108" s="5">
        <f t="shared" si="2"/>
        <v>11400</v>
      </c>
      <c r="D108" s="13">
        <f t="shared" si="3"/>
        <v>0.38179999999999997</v>
      </c>
      <c r="F108" s="19"/>
      <c r="I108" s="20"/>
      <c r="J108" s="26"/>
      <c r="L108" s="27"/>
      <c r="N108" s="6"/>
      <c r="P108" s="33"/>
      <c r="Q108" s="8"/>
    </row>
    <row r="109" spans="2:17" ht="15" x14ac:dyDescent="0.4">
      <c r="B109" s="4" t="s">
        <v>8</v>
      </c>
      <c r="C109" s="5">
        <f t="shared" si="2"/>
        <v>11500</v>
      </c>
      <c r="D109" s="13">
        <f t="shared" si="3"/>
        <v>0.38179999999999997</v>
      </c>
      <c r="F109" s="19"/>
      <c r="I109" s="20"/>
      <c r="J109" s="26"/>
      <c r="L109" s="27"/>
      <c r="N109" s="6"/>
      <c r="P109" s="33"/>
      <c r="Q109" s="8"/>
    </row>
    <row r="110" spans="2:17" ht="15" x14ac:dyDescent="0.4">
      <c r="B110" s="4" t="s">
        <v>8</v>
      </c>
      <c r="C110" s="5">
        <f t="shared" si="2"/>
        <v>11600</v>
      </c>
      <c r="D110" s="13">
        <f t="shared" si="3"/>
        <v>0.38179999999999997</v>
      </c>
      <c r="F110" s="19"/>
      <c r="I110" s="20"/>
      <c r="J110" s="26"/>
      <c r="L110" s="27"/>
      <c r="N110" s="6"/>
      <c r="P110" s="33"/>
      <c r="Q110" s="8"/>
    </row>
    <row r="111" spans="2:17" ht="15" x14ac:dyDescent="0.4">
      <c r="B111" s="4" t="s">
        <v>8</v>
      </c>
      <c r="C111" s="5">
        <f t="shared" si="2"/>
        <v>11700</v>
      </c>
      <c r="D111" s="13">
        <f t="shared" si="3"/>
        <v>0.38179999999999997</v>
      </c>
      <c r="F111" s="19"/>
      <c r="I111" s="20"/>
      <c r="J111" s="26"/>
      <c r="L111" s="27"/>
      <c r="N111" s="6"/>
      <c r="P111" s="33"/>
      <c r="Q111" s="8"/>
    </row>
    <row r="112" spans="2:17" ht="15" x14ac:dyDescent="0.4">
      <c r="B112" s="4" t="s">
        <v>8</v>
      </c>
      <c r="C112" s="5">
        <f t="shared" si="2"/>
        <v>11800</v>
      </c>
      <c r="D112" s="13">
        <f t="shared" si="3"/>
        <v>0.38179999999999997</v>
      </c>
      <c r="F112" s="19"/>
      <c r="I112" s="20"/>
      <c r="J112" s="26"/>
      <c r="L112" s="27"/>
      <c r="N112" s="6"/>
      <c r="P112" s="33"/>
      <c r="Q112" s="8"/>
    </row>
    <row r="113" spans="2:17" ht="15" x14ac:dyDescent="0.4">
      <c r="B113" s="4" t="s">
        <v>8</v>
      </c>
      <c r="C113" s="5">
        <f t="shared" si="2"/>
        <v>11900</v>
      </c>
      <c r="D113" s="13">
        <f t="shared" si="3"/>
        <v>0.38179999999999997</v>
      </c>
      <c r="F113" s="19"/>
      <c r="I113" s="20"/>
      <c r="J113" s="26"/>
      <c r="L113" s="27"/>
      <c r="N113" s="6"/>
      <c r="P113" s="33"/>
      <c r="Q113" s="8"/>
    </row>
    <row r="114" spans="2:17" ht="15" x14ac:dyDescent="0.4">
      <c r="B114" s="4" t="s">
        <v>8</v>
      </c>
      <c r="C114" s="5">
        <f t="shared" si="2"/>
        <v>12000</v>
      </c>
      <c r="D114" s="13">
        <f t="shared" si="3"/>
        <v>0.38179999999999997</v>
      </c>
      <c r="F114" s="19"/>
      <c r="I114" s="20"/>
      <c r="J114" s="26"/>
      <c r="L114" s="27"/>
      <c r="N114" s="6"/>
      <c r="P114" s="33"/>
      <c r="Q114" s="8"/>
    </row>
    <row r="115" spans="2:17" ht="15" x14ac:dyDescent="0.4">
      <c r="B115" s="4" t="s">
        <v>8</v>
      </c>
      <c r="C115" s="5">
        <f t="shared" si="2"/>
        <v>12100</v>
      </c>
      <c r="D115" s="13">
        <f t="shared" si="3"/>
        <v>0.38179999999999997</v>
      </c>
      <c r="F115" s="19"/>
      <c r="I115" s="20"/>
      <c r="J115" s="26"/>
      <c r="L115" s="27"/>
      <c r="N115" s="6"/>
      <c r="P115" s="33"/>
      <c r="Q115" s="8"/>
    </row>
    <row r="116" spans="2:17" ht="15" x14ac:dyDescent="0.4">
      <c r="B116" s="4" t="s">
        <v>8</v>
      </c>
      <c r="C116" s="5">
        <f t="shared" si="2"/>
        <v>12200</v>
      </c>
      <c r="D116" s="13">
        <f t="shared" si="3"/>
        <v>0.38179999999999997</v>
      </c>
      <c r="F116" s="19"/>
      <c r="I116" s="20"/>
      <c r="J116" s="26"/>
      <c r="L116" s="27"/>
      <c r="N116" s="6"/>
      <c r="P116" s="33"/>
      <c r="Q116" s="8"/>
    </row>
    <row r="117" spans="2:17" ht="15" x14ac:dyDescent="0.4">
      <c r="B117" s="4" t="s">
        <v>8</v>
      </c>
      <c r="C117" s="5">
        <f t="shared" si="2"/>
        <v>12300</v>
      </c>
      <c r="D117" s="13">
        <f t="shared" si="3"/>
        <v>0.38179999999999997</v>
      </c>
      <c r="F117" s="19"/>
      <c r="I117" s="20"/>
      <c r="J117" s="26"/>
      <c r="L117" s="27"/>
      <c r="N117" s="6"/>
      <c r="P117" s="33"/>
      <c r="Q117" s="8"/>
    </row>
    <row r="118" spans="2:17" ht="15" x14ac:dyDescent="0.4">
      <c r="B118" s="4" t="s">
        <v>8</v>
      </c>
      <c r="C118" s="5">
        <f t="shared" si="2"/>
        <v>12400</v>
      </c>
      <c r="D118" s="13">
        <f t="shared" si="3"/>
        <v>0.38179999999999997</v>
      </c>
      <c r="F118" s="19"/>
      <c r="I118" s="20"/>
      <c r="J118" s="26"/>
      <c r="L118" s="27"/>
      <c r="N118" s="6"/>
      <c r="P118" s="33"/>
      <c r="Q118" s="8"/>
    </row>
    <row r="119" spans="2:17" ht="15" x14ac:dyDescent="0.4">
      <c r="B119" s="4" t="s">
        <v>8</v>
      </c>
      <c r="C119" s="5">
        <f t="shared" si="2"/>
        <v>12500</v>
      </c>
      <c r="D119" s="13">
        <f t="shared" si="3"/>
        <v>0.38179999999999997</v>
      </c>
      <c r="F119" s="19"/>
      <c r="I119" s="20"/>
      <c r="J119" s="26"/>
      <c r="L119" s="27"/>
      <c r="N119" s="6"/>
      <c r="P119" s="33"/>
      <c r="Q119" s="8"/>
    </row>
    <row r="120" spans="2:17" ht="15" x14ac:dyDescent="0.4">
      <c r="B120" s="4" t="s">
        <v>8</v>
      </c>
      <c r="C120" s="5">
        <f t="shared" si="2"/>
        <v>12600</v>
      </c>
      <c r="D120" s="13">
        <f t="shared" si="3"/>
        <v>0.38179999999999997</v>
      </c>
      <c r="F120" s="19"/>
      <c r="I120" s="20"/>
      <c r="J120" s="26"/>
      <c r="L120" s="27"/>
      <c r="N120" s="6"/>
      <c r="P120" s="33"/>
      <c r="Q120" s="8"/>
    </row>
    <row r="121" spans="2:17" ht="15" x14ac:dyDescent="0.4">
      <c r="B121" s="4" t="s">
        <v>8</v>
      </c>
      <c r="C121" s="5">
        <f t="shared" si="2"/>
        <v>12700</v>
      </c>
      <c r="D121" s="13">
        <f t="shared" si="3"/>
        <v>0.38179999999999997</v>
      </c>
      <c r="F121" s="19"/>
      <c r="I121" s="20"/>
      <c r="J121" s="26"/>
      <c r="L121" s="27"/>
      <c r="N121" s="6"/>
      <c r="P121" s="33"/>
      <c r="Q121" s="8"/>
    </row>
    <row r="122" spans="2:17" ht="15.5" thickBot="1" x14ac:dyDescent="0.45">
      <c r="B122" s="4" t="s">
        <v>8</v>
      </c>
      <c r="C122" s="5">
        <f t="shared" si="2"/>
        <v>12800</v>
      </c>
      <c r="D122" s="13">
        <f t="shared" si="3"/>
        <v>0.38179999999999997</v>
      </c>
      <c r="F122" s="21"/>
      <c r="G122" s="22"/>
      <c r="H122" s="22"/>
      <c r="I122" s="23"/>
      <c r="J122" s="28"/>
      <c r="K122" s="22"/>
      <c r="L122" s="29"/>
      <c r="N122" s="30"/>
      <c r="O122" s="7"/>
      <c r="P122" s="34"/>
      <c r="Q122" s="12"/>
    </row>
  </sheetData>
  <mergeCells count="5">
    <mergeCell ref="J22:L22"/>
    <mergeCell ref="J74:L74"/>
    <mergeCell ref="T22:T23"/>
    <mergeCell ref="U22:U23"/>
    <mergeCell ref="B10:C10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Hoja1</vt:lpstr>
      <vt:lpstr>spot</vt:lpstr>
      <vt:lpstr>T</vt:lpstr>
      <vt:lpstr>tipo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2010-02-19T23:11:17Z</dcterms:created>
  <dcterms:modified xsi:type="dcterms:W3CDTF">2025-04-02T05:03:34Z</dcterms:modified>
</cp:coreProperties>
</file>