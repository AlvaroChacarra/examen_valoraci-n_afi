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2025_02_Valoracion_LK\Valoración\Documentación\1. Marco Black. Equity\1.Valoración. Marco Black Equity. Ejercicios\"/>
    </mc:Choice>
  </mc:AlternateContent>
  <xr:revisionPtr revIDLastSave="0" documentId="13_ncr:1_{49266914-91F9-4E23-8D17-2E43D3E89BE2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condicionando" sheetId="1" r:id="rId1"/>
  </sheets>
  <definedNames>
    <definedName name="divid">condicionando!$G$12</definedName>
    <definedName name="flujos">#REF!</definedName>
    <definedName name="K">condicionando!$G$11</definedName>
    <definedName name="paso">#REF!</definedName>
    <definedName name="plazo1">condicionando!$E$7</definedName>
    <definedName name="plazo2">condicionando!$F$7</definedName>
    <definedName name="probs">#REF!</definedName>
    <definedName name="q">condicionando!$J$6</definedName>
    <definedName name="sigma">condicionando!$G$14</definedName>
    <definedName name="spot">condicionando!$G$13</definedName>
    <definedName name="tipo">condicionando!$D$3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F8" i="1" l="1"/>
  <c r="E8" i="1"/>
  <c r="O24" i="1" s="1"/>
  <c r="F9" i="1" l="1"/>
</calcChain>
</file>

<file path=xl/sharedStrings.xml><?xml version="1.0" encoding="utf-8"?>
<sst xmlns="http://schemas.openxmlformats.org/spreadsheetml/2006/main" count="30" uniqueCount="29">
  <si>
    <t>Spot</t>
  </si>
  <si>
    <t>Sigma</t>
  </si>
  <si>
    <t>desc fwd</t>
  </si>
  <si>
    <t>Strike</t>
  </si>
  <si>
    <t>probs</t>
  </si>
  <si>
    <t>S_plazo1</t>
  </si>
  <si>
    <t>Descuentos</t>
  </si>
  <si>
    <t>Dividendo (se paga en tiempo 1)</t>
  </si>
  <si>
    <t>moneyness</t>
  </si>
  <si>
    <t>Cálculo numérico de la integral doble</t>
  </si>
  <si>
    <t>valores normal</t>
  </si>
  <si>
    <t>S ex-dividendo</t>
  </si>
  <si>
    <t>vola acumulada</t>
  </si>
  <si>
    <t>tiempo</t>
  </si>
  <si>
    <t>tipo</t>
  </si>
  <si>
    <t>paso</t>
  </si>
  <si>
    <t>estos son escenarios del subyacente en tiempo 1</t>
  </si>
  <si>
    <t>para cada escenario (condicionando a él), calculamos la prima de la call</t>
  </si>
  <si>
    <t>T</t>
  </si>
  <si>
    <t>T'</t>
  </si>
  <si>
    <t>valor (en T) de la call (que paga en T')</t>
  </si>
  <si>
    <t>precio call</t>
  </si>
  <si>
    <t>precio call sin dividendos</t>
  </si>
  <si>
    <t>vola acum</t>
  </si>
  <si>
    <t>d+</t>
  </si>
  <si>
    <t>d-</t>
  </si>
  <si>
    <t>Phi(d+)</t>
  </si>
  <si>
    <t>Phi(d-)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</si>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</sst>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0.000%"/>
    <numFmt numFmtId="165" formatCode="0.0000%"/>
    <numFmt numFmtId="166" formatCode="0.000"/>
    <numFmt numFmtId="167" formatCode="_-* #,##0.0000\ &quot;€&quot;_-;\-* #,##0.0000\ &quot;€&quot;_-;_-* &quot;-&quot;??\ &quot;€&quot;_-;_-@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i/>
      <sz val="11"/>
      <name val="Amasis MT Pro"/>
      <family val="2"/>
      <scheme val="minor"/>
    </font>
    <font>
      <sz val="11"/>
      <name val="Amasis MT Pro"/>
      <family val="2"/>
      <scheme val="minor"/>
    </font>
    <font>
      <b/>
      <i/>
      <sz val="11"/>
      <color theme="0"/>
      <name val="Amasis MT Pro"/>
      <family val="2"/>
      <scheme val="minor"/>
    </font>
    <font>
      <i/>
      <sz val="11"/>
      <name val="Amasis MT Pro"/>
      <family val="2"/>
      <scheme val="minor"/>
    </font>
    <font>
      <sz val="10"/>
      <name val="Arial"/>
      <family val="2"/>
    </font>
    <font>
      <b/>
      <sz val="11"/>
      <name val="Amasis MT Pro"/>
      <family val="2"/>
      <scheme val="minor"/>
    </font>
    <font>
      <b/>
      <sz val="11"/>
      <color theme="3"/>
      <name val="Amasis MT Pro"/>
      <family val="2"/>
      <scheme val="minor"/>
    </font>
    <font>
      <b/>
      <sz val="11"/>
      <color theme="0"/>
      <name val="Amasis MT Pro"/>
      <family val="2"/>
      <scheme val="minor"/>
    </font>
    <font>
      <b/>
      <i/>
      <sz val="11"/>
      <color theme="1"/>
      <name val="Amasis MT Pro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theme="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/>
    <xf numFmtId="0" fontId="4" fillId="0" borderId="0" xfId="0" applyFont="1"/>
    <xf numFmtId="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64" fontId="4" fillId="0" borderId="1" xfId="1" applyNumberFormat="1" applyFont="1" applyBorder="1"/>
    <xf numFmtId="164" fontId="4" fillId="0" borderId="2" xfId="1" applyNumberFormat="1" applyFont="1" applyBorder="1"/>
    <xf numFmtId="164" fontId="4" fillId="0" borderId="3" xfId="1" applyNumberFormat="1" applyFont="1" applyBorder="1"/>
    <xf numFmtId="164" fontId="4" fillId="0" borderId="5" xfId="1" applyNumberFormat="1" applyFont="1" applyBorder="1"/>
    <xf numFmtId="10" fontId="4" fillId="0" borderId="0" xfId="1" applyNumberFormat="1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9" fontId="4" fillId="0" borderId="0" xfId="1" applyFont="1"/>
    <xf numFmtId="165" fontId="4" fillId="0" borderId="0" xfId="1" applyNumberFormat="1" applyFont="1"/>
    <xf numFmtId="10" fontId="4" fillId="0" borderId="0" xfId="1" applyNumberFormat="1" applyFont="1" applyAlignment="1">
      <alignment horizontal="center"/>
    </xf>
    <xf numFmtId="2" fontId="4" fillId="0" borderId="0" xfId="0" applyNumberFormat="1" applyFont="1"/>
    <xf numFmtId="0" fontId="6" fillId="0" borderId="16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10" fontId="4" fillId="0" borderId="0" xfId="1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10" fontId="4" fillId="0" borderId="21" xfId="1" applyNumberFormat="1" applyFont="1" applyBorder="1" applyAlignment="1">
      <alignment horizontal="center"/>
    </xf>
    <xf numFmtId="166" fontId="4" fillId="2" borderId="4" xfId="0" applyNumberFormat="1" applyFont="1" applyFill="1" applyBorder="1" applyAlignment="1">
      <alignment horizontal="center"/>
    </xf>
    <xf numFmtId="166" fontId="4" fillId="2" borderId="17" xfId="0" applyNumberFormat="1" applyFont="1" applyFill="1" applyBorder="1" applyAlignment="1">
      <alignment horizontal="center"/>
    </xf>
    <xf numFmtId="166" fontId="4" fillId="2" borderId="6" xfId="0" applyNumberFormat="1" applyFont="1" applyFill="1" applyBorder="1" applyAlignment="1">
      <alignment horizontal="center"/>
    </xf>
    <xf numFmtId="10" fontId="4" fillId="0" borderId="7" xfId="1" applyNumberFormat="1" applyFont="1" applyBorder="1" applyAlignment="1">
      <alignment horizontal="center"/>
    </xf>
    <xf numFmtId="9" fontId="4" fillId="0" borderId="8" xfId="1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10" fontId="4" fillId="0" borderId="13" xfId="1" applyNumberFormat="1" applyFont="1" applyBorder="1" applyAlignment="1">
      <alignment horizontal="center"/>
    </xf>
    <xf numFmtId="9" fontId="4" fillId="0" borderId="0" xfId="1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10" fontId="4" fillId="0" borderId="10" xfId="1" applyNumberFormat="1" applyFont="1" applyBorder="1" applyAlignment="1">
      <alignment horizontal="center"/>
    </xf>
    <xf numFmtId="9" fontId="4" fillId="0" borderId="11" xfId="1" applyFont="1" applyBorder="1" applyAlignment="1">
      <alignment horizontal="center"/>
    </xf>
    <xf numFmtId="2" fontId="4" fillId="0" borderId="12" xfId="0" applyNumberFormat="1" applyFont="1" applyBorder="1" applyAlignment="1">
      <alignment horizontal="center"/>
    </xf>
    <xf numFmtId="0" fontId="10" fillId="3" borderId="0" xfId="0" applyFont="1" applyFill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44" fontId="8" fillId="0" borderId="0" xfId="2" applyFont="1" applyBorder="1" applyAlignment="1">
      <alignment horizontal="center"/>
    </xf>
    <xf numFmtId="0" fontId="8" fillId="0" borderId="0" xfId="0" applyFont="1" applyAlignment="1">
      <alignment horizontal="center"/>
    </xf>
    <xf numFmtId="9" fontId="8" fillId="0" borderId="0" xfId="0" applyNumberFormat="1" applyFont="1" applyAlignment="1">
      <alignment horizontal="center"/>
    </xf>
    <xf numFmtId="0" fontId="5" fillId="3" borderId="15" xfId="0" applyFont="1" applyFill="1" applyBorder="1" applyAlignment="1">
      <alignment horizontal="center"/>
    </xf>
    <xf numFmtId="2" fontId="4" fillId="0" borderId="19" xfId="0" applyNumberFormat="1" applyFont="1" applyBorder="1" applyAlignment="1">
      <alignment horizontal="center"/>
    </xf>
    <xf numFmtId="2" fontId="4" fillId="0" borderId="22" xfId="0" applyNumberFormat="1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167" fontId="3" fillId="0" borderId="6" xfId="2" applyNumberFormat="1" applyFont="1" applyFill="1" applyBorder="1" applyAlignment="1">
      <alignment horizontal="center"/>
    </xf>
    <xf numFmtId="0" fontId="10" fillId="3" borderId="0" xfId="0" applyFont="1" applyFill="1" applyAlignment="1">
      <alignment horizontal="right"/>
    </xf>
    <xf numFmtId="167" fontId="9" fillId="0" borderId="3" xfId="2" applyNumberFormat="1" applyFont="1" applyFill="1" applyBorder="1"/>
    <xf numFmtId="0" fontId="10" fillId="3" borderId="1" xfId="0" applyFont="1" applyFill="1" applyBorder="1" applyAlignment="1">
      <alignment horizontal="right"/>
    </xf>
    <xf numFmtId="0" fontId="5" fillId="3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209549</xdr:colOff>
      <xdr:row>12</xdr:row>
      <xdr:rowOff>137408</xdr:rowOff>
    </xdr:from>
    <xdr:to>
      <xdr:col>19</xdr:col>
      <xdr:colOff>7492</xdr:colOff>
      <xdr:row>15</xdr:row>
      <xdr:rowOff>117473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49" y="3033008"/>
          <a:ext cx="7576693" cy="634115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Colores_Afi_2024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_Afi_2024" id="{6B772454-601F-484F-9B93-12CDB0DD81FE}" vid="{8D9AA64B-FBED-4A4A-BCB4-18FC448ED8E1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2:T267"/>
  <sheetViews>
    <sheetView showGridLines="0" tabSelected="1" zoomScaleNormal="100" workbookViewId="0"/>
  </sheetViews>
  <sheetFormatPr defaultColWidth="8.81640625" defaultRowHeight="14.5" x14ac:dyDescent="0.35"/>
  <cols>
    <col min="1" max="2" width="8.81640625" style="2" customWidth="1"/>
    <col min="3" max="3" width="12" style="2" customWidth="1"/>
    <col min="4" max="4" width="11.26953125" style="2" customWidth="1"/>
    <col min="5" max="5" width="8.81640625" style="2" customWidth="1"/>
    <col min="6" max="6" width="12.453125" style="2" bestFit="1" customWidth="1"/>
    <col min="7" max="7" width="10.453125" style="2" bestFit="1" customWidth="1"/>
    <col min="8" max="8" width="8.81640625" style="2" customWidth="1"/>
    <col min="9" max="9" width="11.54296875" style="2" customWidth="1"/>
    <col min="10" max="10" width="8.81640625" style="2" customWidth="1"/>
    <col min="11" max="11" width="12.54296875" style="2" customWidth="1"/>
    <col min="12" max="12" width="14" style="2" customWidth="1"/>
    <col min="13" max="13" width="25.7265625" style="2" customWidth="1"/>
    <col min="14" max="14" width="11" style="2" bestFit="1" customWidth="1"/>
    <col min="15" max="15" width="12.54296875" style="2" bestFit="1" customWidth="1"/>
    <col min="16" max="18" width="8.81640625" style="2"/>
    <col min="19" max="19" width="14.1796875" style="2" customWidth="1"/>
    <col min="20" max="20" width="16.54296875" style="2" customWidth="1"/>
    <col min="21" max="16384" width="8.81640625" style="2"/>
  </cols>
  <sheetData>
    <row r="2" spans="3:16" x14ac:dyDescent="0.35">
      <c r="J2" s="13"/>
    </row>
    <row r="3" spans="3:16" ht="15" x14ac:dyDescent="0.4">
      <c r="C3" s="33" t="s">
        <v>14</v>
      </c>
      <c r="D3" s="3">
        <v>0.01</v>
      </c>
    </row>
    <row r="6" spans="3:16" ht="15" thickBot="1" x14ac:dyDescent="0.4">
      <c r="E6" s="11" t="s">
        <v>18</v>
      </c>
      <c r="F6" s="3" t="s">
        <v>19</v>
      </c>
    </row>
    <row r="7" spans="3:16" ht="15" thickBot="1" x14ac:dyDescent="0.4">
      <c r="C7" s="1" t="s">
        <v>13</v>
      </c>
      <c r="D7" s="34">
        <v>0</v>
      </c>
      <c r="E7" s="35">
        <v>1</v>
      </c>
      <c r="F7" s="36">
        <v>2</v>
      </c>
    </row>
    <row r="8" spans="3:16" ht="15" thickBot="1" x14ac:dyDescent="0.4">
      <c r="C8" s="4" t="s">
        <v>6</v>
      </c>
      <c r="D8" s="5">
        <v>1</v>
      </c>
      <c r="E8" s="6">
        <f>EXP(-plazo1*tipo)</f>
        <v>0.99004983374916811</v>
      </c>
      <c r="F8" s="7">
        <f>EXP(-plazo2*tipo)</f>
        <v>0.98019867330675525</v>
      </c>
    </row>
    <row r="9" spans="3:16" ht="15" thickBot="1" x14ac:dyDescent="0.4">
      <c r="C9" s="4" t="s">
        <v>2</v>
      </c>
      <c r="F9" s="8">
        <f>F8/E8</f>
        <v>0.990049833749168</v>
      </c>
    </row>
    <row r="11" spans="3:16" ht="15" x14ac:dyDescent="0.4">
      <c r="C11" s="48" t="s">
        <v>3</v>
      </c>
      <c r="D11" s="48"/>
      <c r="E11" s="48"/>
      <c r="F11" s="48"/>
      <c r="G11" s="37">
        <v>120</v>
      </c>
      <c r="N11" s="13"/>
    </row>
    <row r="12" spans="3:16" ht="15" x14ac:dyDescent="0.4">
      <c r="C12" s="48" t="s">
        <v>7</v>
      </c>
      <c r="D12" s="48"/>
      <c r="E12" s="48"/>
      <c r="F12" s="48"/>
      <c r="G12" s="38">
        <v>5</v>
      </c>
    </row>
    <row r="13" spans="3:16" ht="15" x14ac:dyDescent="0.4">
      <c r="C13" s="48" t="s">
        <v>0</v>
      </c>
      <c r="D13" s="48"/>
      <c r="E13" s="48"/>
      <c r="F13" s="48"/>
      <c r="G13" s="37">
        <v>100</v>
      </c>
    </row>
    <row r="14" spans="3:16" ht="15" x14ac:dyDescent="0.4">
      <c r="C14" s="48" t="s">
        <v>1</v>
      </c>
      <c r="D14" s="48"/>
      <c r="E14" s="48"/>
      <c r="F14" s="48"/>
      <c r="G14" s="39">
        <v>0.3</v>
      </c>
    </row>
    <row r="15" spans="3:16" x14ac:dyDescent="0.35">
      <c r="P15" s="9"/>
    </row>
    <row r="17" spans="3:20" x14ac:dyDescent="0.35">
      <c r="C17" s="10"/>
    </row>
    <row r="18" spans="3:20" x14ac:dyDescent="0.35">
      <c r="C18" s="10"/>
    </row>
    <row r="19" spans="3:20" ht="15" thickBot="1" x14ac:dyDescent="0.4">
      <c r="C19" s="10" t="s">
        <v>9</v>
      </c>
    </row>
    <row r="20" spans="3:20" ht="15" thickBot="1" x14ac:dyDescent="0.4">
      <c r="C20" s="10"/>
      <c r="K20" s="49" t="s">
        <v>17</v>
      </c>
      <c r="L20" s="50"/>
      <c r="M20" s="51"/>
    </row>
    <row r="21" spans="3:20" ht="15" customHeight="1" x14ac:dyDescent="0.35">
      <c r="C21" s="10"/>
      <c r="E21" s="49" t="s">
        <v>16</v>
      </c>
      <c r="F21" s="50"/>
      <c r="G21" s="51"/>
      <c r="K21" s="55"/>
      <c r="L21" s="56"/>
      <c r="M21" s="57"/>
    </row>
    <row r="22" spans="3:20" ht="15" thickBot="1" x14ac:dyDescent="0.4">
      <c r="C22" s="10"/>
      <c r="E22" s="52"/>
      <c r="F22" s="53"/>
      <c r="G22" s="54"/>
      <c r="K22" s="52"/>
      <c r="L22" s="53"/>
      <c r="M22" s="54"/>
    </row>
    <row r="23" spans="3:20" ht="15" thickBot="1" x14ac:dyDescent="0.4">
      <c r="C23" s="40" t="s">
        <v>15</v>
      </c>
      <c r="O23" s="43" t="s">
        <v>21</v>
      </c>
      <c r="S23" s="48" t="s">
        <v>22</v>
      </c>
      <c r="T23" s="48"/>
    </row>
    <row r="24" spans="3:20" ht="15" customHeight="1" thickBot="1" x14ac:dyDescent="0.4">
      <c r="C24" s="16">
        <f>0.1</f>
        <v>0.1</v>
      </c>
      <c r="E24" s="58" t="s">
        <v>10</v>
      </c>
      <c r="F24" s="58" t="s">
        <v>4</v>
      </c>
      <c r="G24" s="58" t="s">
        <v>5</v>
      </c>
      <c r="I24" s="60" t="s">
        <v>11</v>
      </c>
      <c r="K24" s="58" t="s">
        <v>8</v>
      </c>
      <c r="L24" s="58" t="s">
        <v>12</v>
      </c>
      <c r="M24" s="58" t="s">
        <v>20</v>
      </c>
      <c r="O24" s="44">
        <f>SUMPRODUCT(F26:F126,M26:M126)*$E$8</f>
        <v>0</v>
      </c>
    </row>
    <row r="25" spans="3:20" ht="15.5" thickBot="1" x14ac:dyDescent="0.45">
      <c r="E25" s="59"/>
      <c r="F25" s="59"/>
      <c r="G25" s="59"/>
      <c r="I25" s="61"/>
      <c r="K25" s="59"/>
      <c r="L25" s="59"/>
      <c r="M25" s="59"/>
      <c r="S25" s="45" t="s">
        <v>8</v>
      </c>
    </row>
    <row r="26" spans="3:20" ht="15.5" thickTop="1" x14ac:dyDescent="0.4">
      <c r="E26" s="17"/>
      <c r="F26" s="18"/>
      <c r="G26" s="41"/>
      <c r="I26" s="21"/>
      <c r="K26" s="24"/>
      <c r="L26" s="25"/>
      <c r="M26" s="26"/>
      <c r="N26" s="15"/>
      <c r="S26" s="45" t="s">
        <v>23</v>
      </c>
    </row>
    <row r="27" spans="3:20" ht="15" x14ac:dyDescent="0.4">
      <c r="E27" s="17"/>
      <c r="F27" s="18"/>
      <c r="G27" s="41"/>
      <c r="I27" s="22"/>
      <c r="K27" s="27"/>
      <c r="L27" s="28"/>
      <c r="M27" s="29"/>
      <c r="N27" s="15"/>
      <c r="S27" s="45" t="s">
        <v>24</v>
      </c>
    </row>
    <row r="28" spans="3:20" ht="15" x14ac:dyDescent="0.4">
      <c r="E28" s="17"/>
      <c r="F28" s="18"/>
      <c r="G28" s="41"/>
      <c r="I28" s="22"/>
      <c r="K28" s="27"/>
      <c r="L28" s="28"/>
      <c r="M28" s="29"/>
      <c r="N28" s="15"/>
      <c r="S28" s="45" t="s">
        <v>25</v>
      </c>
    </row>
    <row r="29" spans="3:20" ht="15" x14ac:dyDescent="0.4">
      <c r="E29" s="17"/>
      <c r="F29" s="18"/>
      <c r="G29" s="41"/>
      <c r="I29" s="22"/>
      <c r="K29" s="27"/>
      <c r="L29" s="28"/>
      <c r="M29" s="29"/>
      <c r="N29" s="15"/>
      <c r="S29" s="45" t="s">
        <v>26</v>
      </c>
    </row>
    <row r="30" spans="3:20" ht="15.5" thickBot="1" x14ac:dyDescent="0.45">
      <c r="E30" s="17"/>
      <c r="F30" s="18"/>
      <c r="G30" s="41"/>
      <c r="I30" s="22"/>
      <c r="K30" s="27"/>
      <c r="L30" s="28"/>
      <c r="M30" s="29"/>
      <c r="N30" s="15"/>
      <c r="S30" s="45" t="s">
        <v>27</v>
      </c>
    </row>
    <row r="31" spans="3:20" ht="15.5" thickBot="1" x14ac:dyDescent="0.45">
      <c r="E31" s="17"/>
      <c r="F31" s="18"/>
      <c r="G31" s="41"/>
      <c r="I31" s="22"/>
      <c r="K31" s="27"/>
      <c r="L31" s="28"/>
      <c r="M31" s="29"/>
      <c r="N31" s="15"/>
      <c r="S31" s="47" t="s">
        <v>28</v>
      </c>
      <c r="T31" s="46"/>
    </row>
    <row r="32" spans="3:20" x14ac:dyDescent="0.35">
      <c r="E32" s="17"/>
      <c r="F32" s="18"/>
      <c r="G32" s="41"/>
      <c r="I32" s="22"/>
      <c r="K32" s="27"/>
      <c r="L32" s="28"/>
      <c r="M32" s="29"/>
      <c r="N32" s="15"/>
    </row>
    <row r="33" spans="5:14" x14ac:dyDescent="0.35">
      <c r="E33" s="17"/>
      <c r="F33" s="18"/>
      <c r="G33" s="41"/>
      <c r="I33" s="22"/>
      <c r="K33" s="27"/>
      <c r="L33" s="28"/>
      <c r="M33" s="29"/>
      <c r="N33" s="15"/>
    </row>
    <row r="34" spans="5:14" x14ac:dyDescent="0.35">
      <c r="E34" s="17"/>
      <c r="F34" s="18"/>
      <c r="G34" s="41"/>
      <c r="I34" s="22"/>
      <c r="K34" s="27"/>
      <c r="L34" s="28"/>
      <c r="M34" s="29"/>
      <c r="N34" s="15"/>
    </row>
    <row r="35" spans="5:14" x14ac:dyDescent="0.35">
      <c r="E35" s="17"/>
      <c r="F35" s="18"/>
      <c r="G35" s="41"/>
      <c r="I35" s="22"/>
      <c r="K35" s="27"/>
      <c r="L35" s="28"/>
      <c r="M35" s="29"/>
      <c r="N35" s="15"/>
    </row>
    <row r="36" spans="5:14" x14ac:dyDescent="0.35">
      <c r="E36" s="17"/>
      <c r="F36" s="18"/>
      <c r="G36" s="41"/>
      <c r="I36" s="22"/>
      <c r="K36" s="27"/>
      <c r="L36" s="28"/>
      <c r="M36" s="29"/>
      <c r="N36" s="15"/>
    </row>
    <row r="37" spans="5:14" x14ac:dyDescent="0.35">
      <c r="E37" s="17"/>
      <c r="F37" s="18"/>
      <c r="G37" s="41"/>
      <c r="I37" s="22"/>
      <c r="K37" s="27"/>
      <c r="L37" s="28"/>
      <c r="M37" s="29"/>
      <c r="N37" s="15"/>
    </row>
    <row r="38" spans="5:14" x14ac:dyDescent="0.35">
      <c r="E38" s="17"/>
      <c r="F38" s="18"/>
      <c r="G38" s="41"/>
      <c r="I38" s="22"/>
      <c r="K38" s="27"/>
      <c r="L38" s="28"/>
      <c r="M38" s="29"/>
      <c r="N38" s="15"/>
    </row>
    <row r="39" spans="5:14" x14ac:dyDescent="0.35">
      <c r="E39" s="17"/>
      <c r="F39" s="18"/>
      <c r="G39" s="41"/>
      <c r="I39" s="22"/>
      <c r="K39" s="27"/>
      <c r="L39" s="28"/>
      <c r="M39" s="29"/>
      <c r="N39" s="15"/>
    </row>
    <row r="40" spans="5:14" x14ac:dyDescent="0.35">
      <c r="E40" s="17"/>
      <c r="F40" s="18"/>
      <c r="G40" s="41"/>
      <c r="I40" s="22"/>
      <c r="K40" s="27"/>
      <c r="L40" s="28"/>
      <c r="M40" s="29"/>
      <c r="N40" s="15"/>
    </row>
    <row r="41" spans="5:14" x14ac:dyDescent="0.35">
      <c r="E41" s="17"/>
      <c r="F41" s="18"/>
      <c r="G41" s="41"/>
      <c r="I41" s="22"/>
      <c r="K41" s="27"/>
      <c r="L41" s="28"/>
      <c r="M41" s="29"/>
      <c r="N41" s="15"/>
    </row>
    <row r="42" spans="5:14" x14ac:dyDescent="0.35">
      <c r="E42" s="17"/>
      <c r="F42" s="18"/>
      <c r="G42" s="41"/>
      <c r="I42" s="22"/>
      <c r="K42" s="27"/>
      <c r="L42" s="28"/>
      <c r="M42" s="29"/>
      <c r="N42" s="15"/>
    </row>
    <row r="43" spans="5:14" x14ac:dyDescent="0.35">
      <c r="E43" s="17"/>
      <c r="F43" s="18"/>
      <c r="G43" s="41"/>
      <c r="I43" s="22"/>
      <c r="K43" s="27"/>
      <c r="L43" s="28"/>
      <c r="M43" s="29"/>
      <c r="N43" s="15"/>
    </row>
    <row r="44" spans="5:14" x14ac:dyDescent="0.35">
      <c r="E44" s="17"/>
      <c r="F44" s="18"/>
      <c r="G44" s="41"/>
      <c r="I44" s="22"/>
      <c r="K44" s="27"/>
      <c r="L44" s="28"/>
      <c r="M44" s="29"/>
      <c r="N44" s="15"/>
    </row>
    <row r="45" spans="5:14" x14ac:dyDescent="0.35">
      <c r="E45" s="17"/>
      <c r="F45" s="18"/>
      <c r="G45" s="41"/>
      <c r="I45" s="22"/>
      <c r="K45" s="27"/>
      <c r="L45" s="28"/>
      <c r="M45" s="29"/>
      <c r="N45" s="15"/>
    </row>
    <row r="46" spans="5:14" x14ac:dyDescent="0.35">
      <c r="E46" s="17"/>
      <c r="F46" s="18"/>
      <c r="G46" s="41"/>
      <c r="I46" s="22"/>
      <c r="K46" s="27"/>
      <c r="L46" s="28"/>
      <c r="M46" s="29"/>
      <c r="N46" s="15"/>
    </row>
    <row r="47" spans="5:14" x14ac:dyDescent="0.35">
      <c r="E47" s="17"/>
      <c r="F47" s="18"/>
      <c r="G47" s="41"/>
      <c r="I47" s="22"/>
      <c r="K47" s="27"/>
      <c r="L47" s="28"/>
      <c r="M47" s="29"/>
      <c r="N47" s="15"/>
    </row>
    <row r="48" spans="5:14" x14ac:dyDescent="0.35">
      <c r="E48" s="17"/>
      <c r="F48" s="18"/>
      <c r="G48" s="41"/>
      <c r="I48" s="22"/>
      <c r="K48" s="27"/>
      <c r="L48" s="28"/>
      <c r="M48" s="29"/>
      <c r="N48" s="15"/>
    </row>
    <row r="49" spans="5:14" x14ac:dyDescent="0.35">
      <c r="E49" s="17"/>
      <c r="F49" s="18"/>
      <c r="G49" s="41"/>
      <c r="I49" s="22"/>
      <c r="K49" s="27"/>
      <c r="L49" s="28"/>
      <c r="M49" s="29"/>
      <c r="N49" s="15"/>
    </row>
    <row r="50" spans="5:14" x14ac:dyDescent="0.35">
      <c r="E50" s="17"/>
      <c r="F50" s="18"/>
      <c r="G50" s="41"/>
      <c r="I50" s="22"/>
      <c r="K50" s="27"/>
      <c r="L50" s="28"/>
      <c r="M50" s="29"/>
      <c r="N50" s="15"/>
    </row>
    <row r="51" spans="5:14" x14ac:dyDescent="0.35">
      <c r="E51" s="17"/>
      <c r="F51" s="18"/>
      <c r="G51" s="41"/>
      <c r="I51" s="22"/>
      <c r="K51" s="27"/>
      <c r="L51" s="28"/>
      <c r="M51" s="29"/>
      <c r="N51" s="15"/>
    </row>
    <row r="52" spans="5:14" x14ac:dyDescent="0.35">
      <c r="E52" s="17"/>
      <c r="F52" s="18"/>
      <c r="G52" s="41"/>
      <c r="I52" s="22"/>
      <c r="K52" s="27"/>
      <c r="L52" s="28"/>
      <c r="M52" s="29"/>
      <c r="N52" s="15"/>
    </row>
    <row r="53" spans="5:14" x14ac:dyDescent="0.35">
      <c r="E53" s="17"/>
      <c r="F53" s="18"/>
      <c r="G53" s="41"/>
      <c r="I53" s="22"/>
      <c r="K53" s="27"/>
      <c r="L53" s="28"/>
      <c r="M53" s="29"/>
      <c r="N53" s="15"/>
    </row>
    <row r="54" spans="5:14" x14ac:dyDescent="0.35">
      <c r="E54" s="17"/>
      <c r="F54" s="18"/>
      <c r="G54" s="41"/>
      <c r="I54" s="22"/>
      <c r="K54" s="27"/>
      <c r="L54" s="28"/>
      <c r="M54" s="29"/>
      <c r="N54" s="15"/>
    </row>
    <row r="55" spans="5:14" x14ac:dyDescent="0.35">
      <c r="E55" s="17"/>
      <c r="F55" s="18"/>
      <c r="G55" s="41"/>
      <c r="I55" s="22"/>
      <c r="K55" s="27"/>
      <c r="L55" s="28"/>
      <c r="M55" s="29"/>
      <c r="N55" s="15"/>
    </row>
    <row r="56" spans="5:14" x14ac:dyDescent="0.35">
      <c r="E56" s="17"/>
      <c r="F56" s="18"/>
      <c r="G56" s="41"/>
      <c r="I56" s="22"/>
      <c r="K56" s="27"/>
      <c r="L56" s="28"/>
      <c r="M56" s="29"/>
      <c r="N56" s="15"/>
    </row>
    <row r="57" spans="5:14" x14ac:dyDescent="0.35">
      <c r="E57" s="17"/>
      <c r="F57" s="18"/>
      <c r="G57" s="41"/>
      <c r="I57" s="22"/>
      <c r="K57" s="27"/>
      <c r="L57" s="28"/>
      <c r="M57" s="29"/>
      <c r="N57" s="15"/>
    </row>
    <row r="58" spans="5:14" x14ac:dyDescent="0.35">
      <c r="E58" s="17"/>
      <c r="F58" s="18"/>
      <c r="G58" s="41"/>
      <c r="I58" s="22"/>
      <c r="K58" s="27"/>
      <c r="L58" s="28"/>
      <c r="M58" s="29"/>
      <c r="N58" s="15"/>
    </row>
    <row r="59" spans="5:14" x14ac:dyDescent="0.35">
      <c r="E59" s="17"/>
      <c r="F59" s="18"/>
      <c r="G59" s="41"/>
      <c r="I59" s="22"/>
      <c r="K59" s="27"/>
      <c r="L59" s="28"/>
      <c r="M59" s="29"/>
      <c r="N59" s="15"/>
    </row>
    <row r="60" spans="5:14" x14ac:dyDescent="0.35">
      <c r="E60" s="17"/>
      <c r="F60" s="18"/>
      <c r="G60" s="41"/>
      <c r="I60" s="22"/>
      <c r="K60" s="27"/>
      <c r="L60" s="28"/>
      <c r="M60" s="29"/>
      <c r="N60" s="15"/>
    </row>
    <row r="61" spans="5:14" x14ac:dyDescent="0.35">
      <c r="E61" s="17"/>
      <c r="F61" s="18"/>
      <c r="G61" s="41"/>
      <c r="I61" s="22"/>
      <c r="K61" s="27"/>
      <c r="L61" s="28"/>
      <c r="M61" s="29"/>
      <c r="N61" s="15"/>
    </row>
    <row r="62" spans="5:14" x14ac:dyDescent="0.35">
      <c r="E62" s="17"/>
      <c r="F62" s="18"/>
      <c r="G62" s="41"/>
      <c r="I62" s="22"/>
      <c r="K62" s="27"/>
      <c r="L62" s="28"/>
      <c r="M62" s="29"/>
      <c r="N62" s="15"/>
    </row>
    <row r="63" spans="5:14" x14ac:dyDescent="0.35">
      <c r="E63" s="17"/>
      <c r="F63" s="18"/>
      <c r="G63" s="41"/>
      <c r="I63" s="22"/>
      <c r="K63" s="27"/>
      <c r="L63" s="28"/>
      <c r="M63" s="29"/>
      <c r="N63" s="15"/>
    </row>
    <row r="64" spans="5:14" x14ac:dyDescent="0.35">
      <c r="E64" s="17"/>
      <c r="F64" s="18"/>
      <c r="G64" s="41"/>
      <c r="I64" s="22"/>
      <c r="K64" s="27"/>
      <c r="L64" s="28"/>
      <c r="M64" s="29"/>
      <c r="N64" s="15"/>
    </row>
    <row r="65" spans="5:14" x14ac:dyDescent="0.35">
      <c r="E65" s="17"/>
      <c r="F65" s="18"/>
      <c r="G65" s="41"/>
      <c r="I65" s="22"/>
      <c r="K65" s="27"/>
      <c r="L65" s="28"/>
      <c r="M65" s="29"/>
      <c r="N65" s="15"/>
    </row>
    <row r="66" spans="5:14" x14ac:dyDescent="0.35">
      <c r="E66" s="17"/>
      <c r="F66" s="18"/>
      <c r="G66" s="41"/>
      <c r="I66" s="22"/>
      <c r="K66" s="27"/>
      <c r="L66" s="28"/>
      <c r="M66" s="29"/>
      <c r="N66" s="15"/>
    </row>
    <row r="67" spans="5:14" x14ac:dyDescent="0.35">
      <c r="E67" s="17"/>
      <c r="F67" s="18"/>
      <c r="G67" s="41"/>
      <c r="I67" s="22"/>
      <c r="K67" s="27"/>
      <c r="L67" s="28"/>
      <c r="M67" s="29"/>
      <c r="N67" s="15"/>
    </row>
    <row r="68" spans="5:14" x14ac:dyDescent="0.35">
      <c r="E68" s="17"/>
      <c r="F68" s="18"/>
      <c r="G68" s="41"/>
      <c r="I68" s="22"/>
      <c r="K68" s="27"/>
      <c r="L68" s="28"/>
      <c r="M68" s="29"/>
      <c r="N68" s="15"/>
    </row>
    <row r="69" spans="5:14" x14ac:dyDescent="0.35">
      <c r="E69" s="17"/>
      <c r="F69" s="18"/>
      <c r="G69" s="41"/>
      <c r="I69" s="22"/>
      <c r="K69" s="27"/>
      <c r="L69" s="28"/>
      <c r="M69" s="29"/>
      <c r="N69" s="15"/>
    </row>
    <row r="70" spans="5:14" x14ac:dyDescent="0.35">
      <c r="E70" s="17"/>
      <c r="F70" s="18"/>
      <c r="G70" s="41"/>
      <c r="I70" s="22"/>
      <c r="K70" s="27"/>
      <c r="L70" s="28"/>
      <c r="M70" s="29"/>
      <c r="N70" s="15"/>
    </row>
    <row r="71" spans="5:14" x14ac:dyDescent="0.35">
      <c r="E71" s="17"/>
      <c r="F71" s="18"/>
      <c r="G71" s="41"/>
      <c r="I71" s="22"/>
      <c r="K71" s="27"/>
      <c r="L71" s="28"/>
      <c r="M71" s="29"/>
      <c r="N71" s="15"/>
    </row>
    <row r="72" spans="5:14" x14ac:dyDescent="0.35">
      <c r="E72" s="17"/>
      <c r="F72" s="18"/>
      <c r="G72" s="41"/>
      <c r="I72" s="22"/>
      <c r="K72" s="27"/>
      <c r="L72" s="28"/>
      <c r="M72" s="29"/>
      <c r="N72" s="15"/>
    </row>
    <row r="73" spans="5:14" x14ac:dyDescent="0.35">
      <c r="E73" s="17"/>
      <c r="F73" s="18"/>
      <c r="G73" s="41"/>
      <c r="I73" s="22"/>
      <c r="K73" s="27"/>
      <c r="L73" s="28"/>
      <c r="M73" s="29"/>
      <c r="N73" s="15"/>
    </row>
    <row r="74" spans="5:14" x14ac:dyDescent="0.35">
      <c r="E74" s="17"/>
      <c r="F74" s="18"/>
      <c r="G74" s="41"/>
      <c r="I74" s="22"/>
      <c r="K74" s="27"/>
      <c r="L74" s="28"/>
      <c r="M74" s="29"/>
      <c r="N74" s="15"/>
    </row>
    <row r="75" spans="5:14" x14ac:dyDescent="0.35">
      <c r="E75" s="17"/>
      <c r="F75" s="18"/>
      <c r="G75" s="41"/>
      <c r="I75" s="22"/>
      <c r="K75" s="27"/>
      <c r="L75" s="28"/>
      <c r="M75" s="29"/>
      <c r="N75" s="15"/>
    </row>
    <row r="76" spans="5:14" x14ac:dyDescent="0.35">
      <c r="E76" s="17"/>
      <c r="F76" s="18"/>
      <c r="G76" s="41"/>
      <c r="I76" s="22"/>
      <c r="K76" s="27"/>
      <c r="L76" s="28"/>
      <c r="M76" s="29"/>
      <c r="N76" s="15"/>
    </row>
    <row r="77" spans="5:14" x14ac:dyDescent="0.35">
      <c r="E77" s="17"/>
      <c r="F77" s="18"/>
      <c r="G77" s="41"/>
      <c r="I77" s="22"/>
      <c r="K77" s="27"/>
      <c r="L77" s="28"/>
      <c r="M77" s="29"/>
      <c r="N77" s="15"/>
    </row>
    <row r="78" spans="5:14" x14ac:dyDescent="0.35">
      <c r="E78" s="17"/>
      <c r="F78" s="18"/>
      <c r="G78" s="41"/>
      <c r="I78" s="22"/>
      <c r="K78" s="27"/>
      <c r="L78" s="28"/>
      <c r="M78" s="29"/>
      <c r="N78" s="15"/>
    </row>
    <row r="79" spans="5:14" x14ac:dyDescent="0.35">
      <c r="E79" s="17"/>
      <c r="F79" s="18"/>
      <c r="G79" s="41"/>
      <c r="I79" s="22"/>
      <c r="K79" s="27"/>
      <c r="L79" s="28"/>
      <c r="M79" s="29"/>
      <c r="N79" s="15"/>
    </row>
    <row r="80" spans="5:14" x14ac:dyDescent="0.35">
      <c r="E80" s="17"/>
      <c r="F80" s="18"/>
      <c r="G80" s="41"/>
      <c r="I80" s="22"/>
      <c r="K80" s="27"/>
      <c r="L80" s="28"/>
      <c r="M80" s="29"/>
      <c r="N80" s="15"/>
    </row>
    <row r="81" spans="5:14" x14ac:dyDescent="0.35">
      <c r="E81" s="17"/>
      <c r="F81" s="18"/>
      <c r="G81" s="41"/>
      <c r="I81" s="22"/>
      <c r="K81" s="27"/>
      <c r="L81" s="28"/>
      <c r="M81" s="29"/>
      <c r="N81" s="15"/>
    </row>
    <row r="82" spans="5:14" x14ac:dyDescent="0.35">
      <c r="E82" s="17"/>
      <c r="F82" s="18"/>
      <c r="G82" s="41"/>
      <c r="I82" s="22"/>
      <c r="K82" s="27"/>
      <c r="L82" s="28"/>
      <c r="M82" s="29"/>
      <c r="N82" s="15"/>
    </row>
    <row r="83" spans="5:14" x14ac:dyDescent="0.35">
      <c r="E83" s="17"/>
      <c r="F83" s="18"/>
      <c r="G83" s="41"/>
      <c r="I83" s="22"/>
      <c r="K83" s="27"/>
      <c r="L83" s="28"/>
      <c r="M83" s="29"/>
      <c r="N83" s="15"/>
    </row>
    <row r="84" spans="5:14" x14ac:dyDescent="0.35">
      <c r="E84" s="17"/>
      <c r="F84" s="18"/>
      <c r="G84" s="41"/>
      <c r="I84" s="22"/>
      <c r="K84" s="27"/>
      <c r="L84" s="28"/>
      <c r="M84" s="29"/>
      <c r="N84" s="15"/>
    </row>
    <row r="85" spans="5:14" x14ac:dyDescent="0.35">
      <c r="E85" s="17"/>
      <c r="F85" s="18"/>
      <c r="G85" s="41"/>
      <c r="I85" s="22"/>
      <c r="K85" s="27"/>
      <c r="L85" s="28"/>
      <c r="M85" s="29"/>
      <c r="N85" s="15"/>
    </row>
    <row r="86" spans="5:14" x14ac:dyDescent="0.35">
      <c r="E86" s="17"/>
      <c r="F86" s="18"/>
      <c r="G86" s="41"/>
      <c r="I86" s="22"/>
      <c r="K86" s="27"/>
      <c r="L86" s="28"/>
      <c r="M86" s="29"/>
      <c r="N86" s="15"/>
    </row>
    <row r="87" spans="5:14" x14ac:dyDescent="0.35">
      <c r="E87" s="17"/>
      <c r="F87" s="18"/>
      <c r="G87" s="41"/>
      <c r="I87" s="22"/>
      <c r="K87" s="27"/>
      <c r="L87" s="28"/>
      <c r="M87" s="29"/>
      <c r="N87" s="15"/>
    </row>
    <row r="88" spans="5:14" x14ac:dyDescent="0.35">
      <c r="E88" s="17"/>
      <c r="F88" s="18"/>
      <c r="G88" s="41"/>
      <c r="I88" s="22"/>
      <c r="K88" s="27"/>
      <c r="L88" s="28"/>
      <c r="M88" s="29"/>
      <c r="N88" s="15"/>
    </row>
    <row r="89" spans="5:14" x14ac:dyDescent="0.35">
      <c r="E89" s="17"/>
      <c r="F89" s="18"/>
      <c r="G89" s="41"/>
      <c r="I89" s="22"/>
      <c r="K89" s="27"/>
      <c r="L89" s="28"/>
      <c r="M89" s="29"/>
      <c r="N89" s="15"/>
    </row>
    <row r="90" spans="5:14" x14ac:dyDescent="0.35">
      <c r="E90" s="17"/>
      <c r="F90" s="18"/>
      <c r="G90" s="41"/>
      <c r="I90" s="22"/>
      <c r="K90" s="27"/>
      <c r="L90" s="28"/>
      <c r="M90" s="29"/>
      <c r="N90" s="15"/>
    </row>
    <row r="91" spans="5:14" x14ac:dyDescent="0.35">
      <c r="E91" s="17"/>
      <c r="F91" s="18"/>
      <c r="G91" s="41"/>
      <c r="I91" s="22"/>
      <c r="K91" s="27"/>
      <c r="L91" s="28"/>
      <c r="M91" s="29"/>
      <c r="N91" s="15"/>
    </row>
    <row r="92" spans="5:14" x14ac:dyDescent="0.35">
      <c r="E92" s="17"/>
      <c r="F92" s="18"/>
      <c r="G92" s="41"/>
      <c r="I92" s="22"/>
      <c r="K92" s="27"/>
      <c r="L92" s="28"/>
      <c r="M92" s="29"/>
      <c r="N92" s="15"/>
    </row>
    <row r="93" spans="5:14" x14ac:dyDescent="0.35">
      <c r="E93" s="17"/>
      <c r="F93" s="18"/>
      <c r="G93" s="41"/>
      <c r="I93" s="22"/>
      <c r="K93" s="27"/>
      <c r="L93" s="28"/>
      <c r="M93" s="29"/>
      <c r="N93" s="15"/>
    </row>
    <row r="94" spans="5:14" x14ac:dyDescent="0.35">
      <c r="E94" s="17"/>
      <c r="F94" s="18"/>
      <c r="G94" s="41"/>
      <c r="I94" s="22"/>
      <c r="K94" s="27"/>
      <c r="L94" s="28"/>
      <c r="M94" s="29"/>
      <c r="N94" s="15"/>
    </row>
    <row r="95" spans="5:14" x14ac:dyDescent="0.35">
      <c r="E95" s="17"/>
      <c r="F95" s="18"/>
      <c r="G95" s="41"/>
      <c r="I95" s="22"/>
      <c r="K95" s="27"/>
      <c r="L95" s="28"/>
      <c r="M95" s="29"/>
      <c r="N95" s="15"/>
    </row>
    <row r="96" spans="5:14" x14ac:dyDescent="0.35">
      <c r="E96" s="17"/>
      <c r="F96" s="18"/>
      <c r="G96" s="41"/>
      <c r="I96" s="22"/>
      <c r="K96" s="27"/>
      <c r="L96" s="28"/>
      <c r="M96" s="29"/>
      <c r="N96" s="15"/>
    </row>
    <row r="97" spans="5:14" x14ac:dyDescent="0.35">
      <c r="E97" s="17"/>
      <c r="F97" s="18"/>
      <c r="G97" s="41"/>
      <c r="I97" s="22"/>
      <c r="K97" s="27"/>
      <c r="L97" s="28"/>
      <c r="M97" s="29"/>
      <c r="N97" s="15"/>
    </row>
    <row r="98" spans="5:14" x14ac:dyDescent="0.35">
      <c r="E98" s="17"/>
      <c r="F98" s="18"/>
      <c r="G98" s="41"/>
      <c r="I98" s="22"/>
      <c r="K98" s="27"/>
      <c r="L98" s="28"/>
      <c r="M98" s="29"/>
      <c r="N98" s="15"/>
    </row>
    <row r="99" spans="5:14" x14ac:dyDescent="0.35">
      <c r="E99" s="17"/>
      <c r="F99" s="18"/>
      <c r="G99" s="41"/>
      <c r="I99" s="22"/>
      <c r="K99" s="27"/>
      <c r="L99" s="28"/>
      <c r="M99" s="29"/>
      <c r="N99" s="15"/>
    </row>
    <row r="100" spans="5:14" x14ac:dyDescent="0.35">
      <c r="E100" s="17"/>
      <c r="F100" s="18"/>
      <c r="G100" s="41"/>
      <c r="I100" s="22"/>
      <c r="K100" s="27"/>
      <c r="L100" s="28"/>
      <c r="M100" s="29"/>
      <c r="N100" s="15"/>
    </row>
    <row r="101" spans="5:14" x14ac:dyDescent="0.35">
      <c r="E101" s="17"/>
      <c r="F101" s="18"/>
      <c r="G101" s="41"/>
      <c r="I101" s="22"/>
      <c r="K101" s="27"/>
      <c r="L101" s="28"/>
      <c r="M101" s="29"/>
      <c r="N101" s="15"/>
    </row>
    <row r="102" spans="5:14" x14ac:dyDescent="0.35">
      <c r="E102" s="17"/>
      <c r="F102" s="18"/>
      <c r="G102" s="41"/>
      <c r="I102" s="22"/>
      <c r="K102" s="27"/>
      <c r="L102" s="28"/>
      <c r="M102" s="29"/>
      <c r="N102" s="15"/>
    </row>
    <row r="103" spans="5:14" x14ac:dyDescent="0.35">
      <c r="E103" s="17"/>
      <c r="F103" s="18"/>
      <c r="G103" s="41"/>
      <c r="I103" s="22"/>
      <c r="K103" s="27"/>
      <c r="L103" s="28"/>
      <c r="M103" s="29"/>
      <c r="N103" s="15"/>
    </row>
    <row r="104" spans="5:14" x14ac:dyDescent="0.35">
      <c r="E104" s="17"/>
      <c r="F104" s="18"/>
      <c r="G104" s="41"/>
      <c r="I104" s="22"/>
      <c r="K104" s="27"/>
      <c r="L104" s="28"/>
      <c r="M104" s="29"/>
      <c r="N104" s="15"/>
    </row>
    <row r="105" spans="5:14" x14ac:dyDescent="0.35">
      <c r="E105" s="17"/>
      <c r="F105" s="18"/>
      <c r="G105" s="41"/>
      <c r="I105" s="22"/>
      <c r="K105" s="27"/>
      <c r="L105" s="28"/>
      <c r="M105" s="29"/>
      <c r="N105" s="15"/>
    </row>
    <row r="106" spans="5:14" x14ac:dyDescent="0.35">
      <c r="E106" s="17"/>
      <c r="F106" s="18"/>
      <c r="G106" s="41"/>
      <c r="I106" s="22"/>
      <c r="K106" s="27"/>
      <c r="L106" s="28"/>
      <c r="M106" s="29"/>
      <c r="N106" s="15"/>
    </row>
    <row r="107" spans="5:14" x14ac:dyDescent="0.35">
      <c r="E107" s="17"/>
      <c r="F107" s="18"/>
      <c r="G107" s="41"/>
      <c r="I107" s="22"/>
      <c r="K107" s="27"/>
      <c r="L107" s="28"/>
      <c r="M107" s="29"/>
      <c r="N107" s="15"/>
    </row>
    <row r="108" spans="5:14" x14ac:dyDescent="0.35">
      <c r="E108" s="17"/>
      <c r="F108" s="18"/>
      <c r="G108" s="41"/>
      <c r="I108" s="22"/>
      <c r="K108" s="27"/>
      <c r="L108" s="28"/>
      <c r="M108" s="29"/>
      <c r="N108" s="15"/>
    </row>
    <row r="109" spans="5:14" x14ac:dyDescent="0.35">
      <c r="E109" s="17"/>
      <c r="F109" s="18"/>
      <c r="G109" s="41"/>
      <c r="I109" s="22"/>
      <c r="K109" s="27"/>
      <c r="L109" s="28"/>
      <c r="M109" s="29"/>
      <c r="N109" s="15"/>
    </row>
    <row r="110" spans="5:14" x14ac:dyDescent="0.35">
      <c r="E110" s="17"/>
      <c r="F110" s="18"/>
      <c r="G110" s="41"/>
      <c r="I110" s="22"/>
      <c r="K110" s="27"/>
      <c r="L110" s="28"/>
      <c r="M110" s="29"/>
      <c r="N110" s="15"/>
    </row>
    <row r="111" spans="5:14" x14ac:dyDescent="0.35">
      <c r="E111" s="17"/>
      <c r="F111" s="18"/>
      <c r="G111" s="41"/>
      <c r="I111" s="22"/>
      <c r="K111" s="27"/>
      <c r="L111" s="28"/>
      <c r="M111" s="29"/>
      <c r="N111" s="15"/>
    </row>
    <row r="112" spans="5:14" x14ac:dyDescent="0.35">
      <c r="E112" s="17"/>
      <c r="F112" s="18"/>
      <c r="G112" s="41"/>
      <c r="I112" s="22"/>
      <c r="K112" s="27"/>
      <c r="L112" s="28"/>
      <c r="M112" s="29"/>
      <c r="N112" s="15"/>
    </row>
    <row r="113" spans="5:14" x14ac:dyDescent="0.35">
      <c r="E113" s="17"/>
      <c r="F113" s="18"/>
      <c r="G113" s="41"/>
      <c r="I113" s="22"/>
      <c r="K113" s="27"/>
      <c r="L113" s="28"/>
      <c r="M113" s="29"/>
      <c r="N113" s="15"/>
    </row>
    <row r="114" spans="5:14" x14ac:dyDescent="0.35">
      <c r="E114" s="17"/>
      <c r="F114" s="18"/>
      <c r="G114" s="41"/>
      <c r="I114" s="22"/>
      <c r="K114" s="27"/>
      <c r="L114" s="28"/>
      <c r="M114" s="29"/>
      <c r="N114" s="15"/>
    </row>
    <row r="115" spans="5:14" x14ac:dyDescent="0.35">
      <c r="E115" s="17"/>
      <c r="F115" s="18"/>
      <c r="G115" s="41"/>
      <c r="I115" s="22"/>
      <c r="K115" s="27"/>
      <c r="L115" s="28"/>
      <c r="M115" s="29"/>
      <c r="N115" s="15"/>
    </row>
    <row r="116" spans="5:14" x14ac:dyDescent="0.35">
      <c r="E116" s="17"/>
      <c r="F116" s="18"/>
      <c r="G116" s="41"/>
      <c r="I116" s="22"/>
      <c r="K116" s="27"/>
      <c r="L116" s="28"/>
      <c r="M116" s="29"/>
      <c r="N116" s="15"/>
    </row>
    <row r="117" spans="5:14" x14ac:dyDescent="0.35">
      <c r="E117" s="17"/>
      <c r="F117" s="18"/>
      <c r="G117" s="41"/>
      <c r="I117" s="22"/>
      <c r="K117" s="27"/>
      <c r="L117" s="28"/>
      <c r="M117" s="29"/>
      <c r="N117" s="15"/>
    </row>
    <row r="118" spans="5:14" x14ac:dyDescent="0.35">
      <c r="E118" s="17"/>
      <c r="F118" s="18"/>
      <c r="G118" s="41"/>
      <c r="I118" s="22"/>
      <c r="K118" s="27"/>
      <c r="L118" s="28"/>
      <c r="M118" s="29"/>
      <c r="N118" s="15"/>
    </row>
    <row r="119" spans="5:14" x14ac:dyDescent="0.35">
      <c r="E119" s="17"/>
      <c r="F119" s="18"/>
      <c r="G119" s="41"/>
      <c r="I119" s="22"/>
      <c r="K119" s="27"/>
      <c r="L119" s="28"/>
      <c r="M119" s="29"/>
      <c r="N119" s="15"/>
    </row>
    <row r="120" spans="5:14" x14ac:dyDescent="0.35">
      <c r="E120" s="17"/>
      <c r="F120" s="18"/>
      <c r="G120" s="41"/>
      <c r="I120" s="22"/>
      <c r="K120" s="27"/>
      <c r="L120" s="28"/>
      <c r="M120" s="29"/>
      <c r="N120" s="15"/>
    </row>
    <row r="121" spans="5:14" x14ac:dyDescent="0.35">
      <c r="E121" s="17"/>
      <c r="F121" s="18"/>
      <c r="G121" s="41"/>
      <c r="I121" s="22"/>
      <c r="K121" s="27"/>
      <c r="L121" s="28"/>
      <c r="M121" s="29"/>
      <c r="N121" s="15"/>
    </row>
    <row r="122" spans="5:14" x14ac:dyDescent="0.35">
      <c r="E122" s="17"/>
      <c r="F122" s="18"/>
      <c r="G122" s="41"/>
      <c r="I122" s="22"/>
      <c r="K122" s="27"/>
      <c r="L122" s="28"/>
      <c r="M122" s="29"/>
      <c r="N122" s="15"/>
    </row>
    <row r="123" spans="5:14" x14ac:dyDescent="0.35">
      <c r="E123" s="17"/>
      <c r="F123" s="18"/>
      <c r="G123" s="41"/>
      <c r="I123" s="22"/>
      <c r="K123" s="27"/>
      <c r="L123" s="28"/>
      <c r="M123" s="29"/>
      <c r="N123" s="15"/>
    </row>
    <row r="124" spans="5:14" x14ac:dyDescent="0.35">
      <c r="E124" s="17"/>
      <c r="F124" s="18"/>
      <c r="G124" s="41"/>
      <c r="I124" s="22"/>
      <c r="K124" s="27"/>
      <c r="L124" s="28"/>
      <c r="M124" s="29"/>
      <c r="N124" s="15"/>
    </row>
    <row r="125" spans="5:14" x14ac:dyDescent="0.35">
      <c r="E125" s="17"/>
      <c r="F125" s="18"/>
      <c r="G125" s="41"/>
      <c r="I125" s="22"/>
      <c r="K125" s="27"/>
      <c r="L125" s="28"/>
      <c r="M125" s="29"/>
      <c r="N125" s="15"/>
    </row>
    <row r="126" spans="5:14" ht="15" thickBot="1" x14ac:dyDescent="0.4">
      <c r="E126" s="19"/>
      <c r="F126" s="20"/>
      <c r="G126" s="42"/>
      <c r="I126" s="23"/>
      <c r="K126" s="30"/>
      <c r="L126" s="31"/>
      <c r="M126" s="32"/>
      <c r="N126" s="15"/>
    </row>
    <row r="127" spans="5:14" x14ac:dyDescent="0.35">
      <c r="E127" s="11"/>
      <c r="F127" s="14"/>
      <c r="G127" s="11"/>
      <c r="K127" s="9"/>
      <c r="L127" s="12"/>
      <c r="M127" s="15"/>
      <c r="N127" s="15"/>
    </row>
    <row r="128" spans="5:14" x14ac:dyDescent="0.35">
      <c r="E128" s="11"/>
      <c r="F128" s="14"/>
      <c r="G128" s="11"/>
      <c r="K128" s="9"/>
      <c r="L128" s="12"/>
      <c r="M128" s="15"/>
      <c r="N128" s="15"/>
    </row>
    <row r="129" spans="5:14" x14ac:dyDescent="0.35">
      <c r="E129" s="11"/>
      <c r="F129" s="14"/>
      <c r="G129" s="11"/>
      <c r="K129" s="9"/>
      <c r="L129" s="12"/>
      <c r="M129" s="15"/>
      <c r="N129" s="15"/>
    </row>
    <row r="130" spans="5:14" x14ac:dyDescent="0.35">
      <c r="E130" s="11"/>
      <c r="F130" s="14"/>
      <c r="G130" s="11"/>
      <c r="K130" s="9"/>
      <c r="L130" s="12"/>
      <c r="M130" s="15"/>
      <c r="N130" s="15"/>
    </row>
    <row r="131" spans="5:14" x14ac:dyDescent="0.35">
      <c r="E131" s="11"/>
      <c r="F131" s="14"/>
      <c r="G131" s="11"/>
      <c r="K131" s="9"/>
      <c r="L131" s="12"/>
      <c r="M131" s="15"/>
      <c r="N131" s="15"/>
    </row>
    <row r="132" spans="5:14" x14ac:dyDescent="0.35">
      <c r="E132" s="11"/>
      <c r="F132" s="14"/>
      <c r="G132" s="11"/>
      <c r="K132" s="9"/>
      <c r="L132" s="12"/>
      <c r="M132" s="15"/>
      <c r="N132" s="15"/>
    </row>
    <row r="133" spans="5:14" x14ac:dyDescent="0.35">
      <c r="E133" s="11"/>
      <c r="F133" s="14"/>
      <c r="G133" s="11"/>
      <c r="K133" s="9"/>
      <c r="L133" s="12"/>
      <c r="M133" s="15"/>
      <c r="N133" s="15"/>
    </row>
    <row r="134" spans="5:14" x14ac:dyDescent="0.35">
      <c r="E134" s="11"/>
      <c r="F134" s="14"/>
      <c r="G134" s="11"/>
      <c r="K134" s="9"/>
      <c r="L134" s="12"/>
      <c r="M134" s="15"/>
      <c r="N134" s="15"/>
    </row>
    <row r="135" spans="5:14" x14ac:dyDescent="0.35">
      <c r="E135" s="11"/>
      <c r="F135" s="14"/>
      <c r="G135" s="11"/>
      <c r="K135" s="9"/>
      <c r="L135" s="12"/>
      <c r="M135" s="15"/>
      <c r="N135" s="15"/>
    </row>
    <row r="136" spans="5:14" x14ac:dyDescent="0.35">
      <c r="E136" s="11"/>
      <c r="F136" s="14"/>
      <c r="G136" s="11"/>
      <c r="K136" s="9"/>
      <c r="L136" s="12"/>
      <c r="M136" s="15"/>
      <c r="N136" s="15"/>
    </row>
    <row r="137" spans="5:14" x14ac:dyDescent="0.35">
      <c r="E137" s="11"/>
      <c r="F137" s="14"/>
      <c r="G137" s="11"/>
      <c r="K137" s="9"/>
      <c r="L137" s="12"/>
      <c r="M137" s="15"/>
      <c r="N137" s="15"/>
    </row>
    <row r="138" spans="5:14" x14ac:dyDescent="0.35">
      <c r="E138" s="11"/>
      <c r="F138" s="14"/>
      <c r="G138" s="11"/>
      <c r="K138" s="9"/>
      <c r="L138" s="12"/>
      <c r="M138" s="15"/>
      <c r="N138" s="15"/>
    </row>
    <row r="139" spans="5:14" x14ac:dyDescent="0.35">
      <c r="E139" s="11"/>
      <c r="F139" s="14"/>
      <c r="G139" s="11"/>
      <c r="K139" s="9"/>
      <c r="L139" s="12"/>
      <c r="M139" s="15"/>
      <c r="N139" s="15"/>
    </row>
    <row r="140" spans="5:14" x14ac:dyDescent="0.35">
      <c r="E140" s="11"/>
      <c r="F140" s="14"/>
      <c r="G140" s="11"/>
      <c r="K140" s="9"/>
      <c r="L140" s="12"/>
      <c r="M140" s="15"/>
      <c r="N140" s="15"/>
    </row>
    <row r="141" spans="5:14" x14ac:dyDescent="0.35">
      <c r="E141" s="11"/>
      <c r="F141" s="14"/>
      <c r="G141" s="11"/>
      <c r="K141" s="9"/>
      <c r="L141" s="12"/>
      <c r="M141" s="15"/>
      <c r="N141" s="15"/>
    </row>
    <row r="142" spans="5:14" x14ac:dyDescent="0.35">
      <c r="E142" s="11"/>
      <c r="F142" s="14"/>
      <c r="G142" s="11"/>
      <c r="K142" s="9"/>
      <c r="L142" s="12"/>
      <c r="M142" s="15"/>
      <c r="N142" s="15"/>
    </row>
    <row r="143" spans="5:14" x14ac:dyDescent="0.35">
      <c r="E143" s="11"/>
      <c r="F143" s="14"/>
      <c r="G143" s="11"/>
      <c r="K143" s="9"/>
      <c r="L143" s="12"/>
      <c r="M143" s="15"/>
      <c r="N143" s="15"/>
    </row>
    <row r="144" spans="5:14" x14ac:dyDescent="0.35">
      <c r="E144" s="11"/>
      <c r="F144" s="14"/>
      <c r="G144" s="11"/>
      <c r="K144" s="9"/>
      <c r="L144" s="12"/>
      <c r="M144" s="15"/>
      <c r="N144" s="15"/>
    </row>
    <row r="145" spans="5:14" x14ac:dyDescent="0.35">
      <c r="E145" s="11"/>
      <c r="F145" s="14"/>
      <c r="G145" s="11"/>
      <c r="K145" s="9"/>
      <c r="L145" s="12"/>
      <c r="M145" s="15"/>
      <c r="N145" s="15"/>
    </row>
    <row r="146" spans="5:14" x14ac:dyDescent="0.35">
      <c r="E146" s="11"/>
      <c r="F146" s="14"/>
      <c r="G146" s="11"/>
      <c r="K146" s="9"/>
      <c r="L146" s="12"/>
      <c r="M146" s="15"/>
      <c r="N146" s="15"/>
    </row>
    <row r="147" spans="5:14" x14ac:dyDescent="0.35">
      <c r="E147" s="11"/>
      <c r="F147" s="14"/>
      <c r="G147" s="11"/>
      <c r="K147" s="9"/>
      <c r="L147" s="12"/>
      <c r="M147" s="15"/>
      <c r="N147" s="15"/>
    </row>
    <row r="148" spans="5:14" x14ac:dyDescent="0.35">
      <c r="E148" s="11"/>
      <c r="F148" s="14"/>
      <c r="G148" s="11"/>
      <c r="K148" s="9"/>
      <c r="L148" s="12"/>
      <c r="M148" s="15"/>
      <c r="N148" s="15"/>
    </row>
    <row r="149" spans="5:14" x14ac:dyDescent="0.35">
      <c r="E149" s="11"/>
      <c r="F149" s="14"/>
      <c r="G149" s="11"/>
      <c r="K149" s="9"/>
      <c r="L149" s="12"/>
      <c r="M149" s="15"/>
      <c r="N149" s="15"/>
    </row>
    <row r="150" spans="5:14" x14ac:dyDescent="0.35">
      <c r="E150" s="11"/>
      <c r="F150" s="14"/>
      <c r="G150" s="11"/>
      <c r="K150" s="9"/>
      <c r="L150" s="12"/>
      <c r="M150" s="15"/>
      <c r="N150" s="15"/>
    </row>
    <row r="151" spans="5:14" x14ac:dyDescent="0.35">
      <c r="E151" s="11"/>
      <c r="F151" s="14"/>
      <c r="G151" s="11"/>
      <c r="K151" s="9"/>
      <c r="L151" s="12"/>
      <c r="M151" s="15"/>
      <c r="N151" s="15"/>
    </row>
    <row r="152" spans="5:14" x14ac:dyDescent="0.35">
      <c r="E152" s="11"/>
      <c r="F152" s="14"/>
      <c r="G152" s="11"/>
      <c r="K152" s="9"/>
      <c r="L152" s="12"/>
      <c r="M152" s="15"/>
      <c r="N152" s="15"/>
    </row>
    <row r="153" spans="5:14" x14ac:dyDescent="0.35">
      <c r="E153" s="11"/>
      <c r="F153" s="14"/>
      <c r="G153" s="11"/>
      <c r="K153" s="9"/>
      <c r="L153" s="12"/>
      <c r="M153" s="15"/>
      <c r="N153" s="15"/>
    </row>
    <row r="154" spans="5:14" x14ac:dyDescent="0.35">
      <c r="E154" s="11"/>
      <c r="F154" s="14"/>
      <c r="G154" s="11"/>
      <c r="K154" s="9"/>
      <c r="L154" s="12"/>
      <c r="M154" s="15"/>
      <c r="N154" s="15"/>
    </row>
    <row r="155" spans="5:14" x14ac:dyDescent="0.35">
      <c r="E155" s="11"/>
      <c r="F155" s="14"/>
      <c r="G155" s="11"/>
      <c r="K155" s="9"/>
      <c r="L155" s="12"/>
      <c r="M155" s="15"/>
      <c r="N155" s="15"/>
    </row>
    <row r="156" spans="5:14" x14ac:dyDescent="0.35">
      <c r="E156" s="11"/>
      <c r="F156" s="14"/>
      <c r="G156" s="11"/>
      <c r="K156" s="9"/>
      <c r="L156" s="12"/>
      <c r="M156" s="15"/>
      <c r="N156" s="15"/>
    </row>
    <row r="157" spans="5:14" x14ac:dyDescent="0.35">
      <c r="E157" s="11"/>
      <c r="F157" s="14"/>
      <c r="G157" s="11"/>
      <c r="K157" s="9"/>
      <c r="L157" s="12"/>
      <c r="M157" s="15"/>
      <c r="N157" s="15"/>
    </row>
    <row r="158" spans="5:14" x14ac:dyDescent="0.35">
      <c r="E158" s="11"/>
      <c r="F158" s="14"/>
      <c r="G158" s="11"/>
      <c r="K158" s="9"/>
      <c r="L158" s="12"/>
      <c r="M158" s="15"/>
      <c r="N158" s="15"/>
    </row>
    <row r="159" spans="5:14" x14ac:dyDescent="0.35">
      <c r="E159" s="11"/>
      <c r="F159" s="14"/>
      <c r="G159" s="11"/>
      <c r="K159" s="9"/>
      <c r="L159" s="12"/>
      <c r="M159" s="15"/>
      <c r="N159" s="15"/>
    </row>
    <row r="160" spans="5:14" x14ac:dyDescent="0.35">
      <c r="E160" s="11"/>
      <c r="F160" s="14"/>
      <c r="G160" s="11"/>
      <c r="K160" s="9"/>
      <c r="L160" s="12"/>
      <c r="M160" s="15"/>
      <c r="N160" s="15"/>
    </row>
    <row r="161" spans="5:14" x14ac:dyDescent="0.35">
      <c r="E161" s="11"/>
      <c r="F161" s="14"/>
      <c r="G161" s="11"/>
      <c r="K161" s="9"/>
      <c r="L161" s="12"/>
      <c r="M161" s="15"/>
      <c r="N161" s="15"/>
    </row>
    <row r="162" spans="5:14" x14ac:dyDescent="0.35">
      <c r="E162" s="11"/>
      <c r="F162" s="14"/>
      <c r="G162" s="11"/>
      <c r="K162" s="9"/>
      <c r="L162" s="12"/>
      <c r="M162" s="15"/>
      <c r="N162" s="15"/>
    </row>
    <row r="163" spans="5:14" x14ac:dyDescent="0.35">
      <c r="E163" s="11"/>
      <c r="F163" s="14"/>
      <c r="G163" s="11"/>
      <c r="K163" s="9"/>
      <c r="L163" s="12"/>
      <c r="M163" s="15"/>
      <c r="N163" s="15"/>
    </row>
    <row r="164" spans="5:14" x14ac:dyDescent="0.35">
      <c r="E164" s="11"/>
      <c r="F164" s="14"/>
      <c r="G164" s="11"/>
      <c r="K164" s="9"/>
      <c r="L164" s="12"/>
      <c r="M164" s="15"/>
      <c r="N164" s="15"/>
    </row>
    <row r="165" spans="5:14" x14ac:dyDescent="0.35">
      <c r="E165" s="11"/>
      <c r="F165" s="14"/>
      <c r="G165" s="11"/>
      <c r="K165" s="9"/>
      <c r="L165" s="12"/>
      <c r="M165" s="15"/>
      <c r="N165" s="15"/>
    </row>
    <row r="166" spans="5:14" x14ac:dyDescent="0.35">
      <c r="E166" s="11"/>
      <c r="F166" s="14"/>
      <c r="G166" s="11"/>
      <c r="K166" s="9"/>
      <c r="L166" s="12"/>
      <c r="M166" s="15"/>
      <c r="N166" s="15"/>
    </row>
    <row r="167" spans="5:14" x14ac:dyDescent="0.35">
      <c r="E167" s="11"/>
      <c r="F167" s="14"/>
      <c r="G167" s="11"/>
      <c r="K167" s="9"/>
      <c r="L167" s="12"/>
      <c r="M167" s="15"/>
      <c r="N167" s="15"/>
    </row>
    <row r="168" spans="5:14" x14ac:dyDescent="0.35">
      <c r="E168" s="11"/>
      <c r="F168" s="14"/>
      <c r="G168" s="11"/>
      <c r="K168" s="9"/>
      <c r="L168" s="12"/>
      <c r="M168" s="15"/>
      <c r="N168" s="15"/>
    </row>
    <row r="169" spans="5:14" x14ac:dyDescent="0.35">
      <c r="E169" s="11"/>
      <c r="F169" s="14"/>
      <c r="G169" s="11"/>
      <c r="K169" s="9"/>
      <c r="L169" s="12"/>
      <c r="M169" s="15"/>
      <c r="N169" s="15"/>
    </row>
    <row r="170" spans="5:14" x14ac:dyDescent="0.35">
      <c r="E170" s="11"/>
      <c r="F170" s="14"/>
      <c r="G170" s="11"/>
      <c r="K170" s="9"/>
      <c r="L170" s="12"/>
      <c r="M170" s="15"/>
      <c r="N170" s="15"/>
    </row>
    <row r="171" spans="5:14" x14ac:dyDescent="0.35">
      <c r="E171" s="11"/>
      <c r="F171" s="14"/>
      <c r="G171" s="11"/>
      <c r="K171" s="9"/>
      <c r="L171" s="12"/>
      <c r="M171" s="15"/>
      <c r="N171" s="15"/>
    </row>
    <row r="172" spans="5:14" x14ac:dyDescent="0.35">
      <c r="E172" s="11"/>
      <c r="F172" s="14"/>
      <c r="G172" s="11"/>
      <c r="K172" s="9"/>
      <c r="L172" s="12"/>
      <c r="M172" s="15"/>
      <c r="N172" s="15"/>
    </row>
    <row r="173" spans="5:14" x14ac:dyDescent="0.35">
      <c r="E173" s="11"/>
      <c r="F173" s="14"/>
      <c r="G173" s="11"/>
      <c r="K173" s="9"/>
      <c r="L173" s="12"/>
      <c r="M173" s="15"/>
      <c r="N173" s="15"/>
    </row>
    <row r="174" spans="5:14" x14ac:dyDescent="0.35">
      <c r="E174" s="11"/>
      <c r="F174" s="14"/>
      <c r="G174" s="11"/>
      <c r="K174" s="9"/>
      <c r="L174" s="12"/>
      <c r="M174" s="15"/>
      <c r="N174" s="15"/>
    </row>
    <row r="175" spans="5:14" x14ac:dyDescent="0.35">
      <c r="E175" s="11"/>
      <c r="F175" s="14"/>
      <c r="G175" s="11"/>
      <c r="K175" s="9"/>
      <c r="L175" s="12"/>
      <c r="M175" s="15"/>
      <c r="N175" s="15"/>
    </row>
    <row r="176" spans="5:14" x14ac:dyDescent="0.35">
      <c r="E176" s="11"/>
      <c r="F176" s="14"/>
      <c r="G176" s="11"/>
      <c r="K176" s="9"/>
      <c r="L176" s="12"/>
      <c r="M176" s="15"/>
      <c r="N176" s="15"/>
    </row>
    <row r="177" spans="5:14" x14ac:dyDescent="0.35">
      <c r="E177" s="11"/>
      <c r="F177" s="14"/>
      <c r="G177" s="11"/>
      <c r="K177" s="9"/>
      <c r="L177" s="12"/>
      <c r="M177" s="15"/>
      <c r="N177" s="15"/>
    </row>
    <row r="178" spans="5:14" x14ac:dyDescent="0.35">
      <c r="E178" s="11"/>
      <c r="F178" s="14"/>
      <c r="G178" s="11"/>
      <c r="K178" s="9"/>
      <c r="L178" s="12"/>
      <c r="M178" s="15"/>
      <c r="N178" s="15"/>
    </row>
    <row r="179" spans="5:14" x14ac:dyDescent="0.35">
      <c r="E179" s="11"/>
      <c r="F179" s="14"/>
      <c r="G179" s="11"/>
      <c r="K179" s="9"/>
      <c r="L179" s="12"/>
      <c r="M179" s="15"/>
      <c r="N179" s="15"/>
    </row>
    <row r="180" spans="5:14" x14ac:dyDescent="0.35">
      <c r="E180" s="11"/>
      <c r="F180" s="14"/>
      <c r="G180" s="11"/>
      <c r="K180" s="9"/>
      <c r="L180" s="12"/>
      <c r="M180" s="15"/>
      <c r="N180" s="15"/>
    </row>
    <row r="181" spans="5:14" x14ac:dyDescent="0.35">
      <c r="E181" s="11"/>
      <c r="F181" s="14"/>
      <c r="G181" s="11"/>
      <c r="K181" s="9"/>
      <c r="L181" s="12"/>
      <c r="M181" s="15"/>
      <c r="N181" s="15"/>
    </row>
    <row r="182" spans="5:14" x14ac:dyDescent="0.35">
      <c r="E182" s="11"/>
      <c r="F182" s="14"/>
      <c r="G182" s="11"/>
      <c r="K182" s="9"/>
      <c r="L182" s="12"/>
      <c r="M182" s="15"/>
      <c r="N182" s="15"/>
    </row>
    <row r="183" spans="5:14" x14ac:dyDescent="0.35">
      <c r="E183" s="11"/>
      <c r="F183" s="14"/>
      <c r="G183" s="11"/>
      <c r="K183" s="9"/>
      <c r="L183" s="12"/>
      <c r="M183" s="15"/>
      <c r="N183" s="15"/>
    </row>
    <row r="184" spans="5:14" x14ac:dyDescent="0.35">
      <c r="E184" s="11"/>
      <c r="F184" s="14"/>
      <c r="G184" s="11"/>
      <c r="K184" s="9"/>
      <c r="L184" s="12"/>
      <c r="M184" s="15"/>
      <c r="N184" s="15"/>
    </row>
    <row r="185" spans="5:14" x14ac:dyDescent="0.35">
      <c r="E185" s="11"/>
      <c r="F185" s="14"/>
      <c r="G185" s="11"/>
      <c r="K185" s="9"/>
      <c r="L185" s="12"/>
      <c r="M185" s="15"/>
      <c r="N185" s="15"/>
    </row>
    <row r="186" spans="5:14" x14ac:dyDescent="0.35">
      <c r="E186" s="11"/>
      <c r="F186" s="14"/>
      <c r="G186" s="11"/>
      <c r="K186" s="9"/>
      <c r="L186" s="12"/>
      <c r="M186" s="15"/>
      <c r="N186" s="15"/>
    </row>
    <row r="187" spans="5:14" x14ac:dyDescent="0.35">
      <c r="E187" s="11"/>
      <c r="F187" s="14"/>
      <c r="G187" s="11"/>
      <c r="K187" s="9"/>
      <c r="L187" s="12"/>
      <c r="M187" s="15"/>
      <c r="N187" s="15"/>
    </row>
    <row r="188" spans="5:14" x14ac:dyDescent="0.35">
      <c r="E188" s="11"/>
      <c r="F188" s="14"/>
      <c r="G188" s="11"/>
      <c r="K188" s="9"/>
      <c r="L188" s="12"/>
      <c r="M188" s="15"/>
      <c r="N188" s="15"/>
    </row>
    <row r="189" spans="5:14" x14ac:dyDescent="0.35">
      <c r="E189" s="11"/>
      <c r="F189" s="14"/>
      <c r="G189" s="11"/>
      <c r="K189" s="9"/>
      <c r="L189" s="12"/>
      <c r="M189" s="15"/>
      <c r="N189" s="15"/>
    </row>
    <row r="190" spans="5:14" x14ac:dyDescent="0.35">
      <c r="E190" s="11"/>
      <c r="F190" s="14"/>
      <c r="G190" s="11"/>
      <c r="K190" s="9"/>
      <c r="L190" s="12"/>
      <c r="M190" s="15"/>
      <c r="N190" s="15"/>
    </row>
    <row r="191" spans="5:14" x14ac:dyDescent="0.35">
      <c r="E191" s="11"/>
      <c r="F191" s="14"/>
      <c r="G191" s="11"/>
      <c r="K191" s="9"/>
      <c r="L191" s="12"/>
      <c r="M191" s="15"/>
      <c r="N191" s="15"/>
    </row>
    <row r="192" spans="5:14" x14ac:dyDescent="0.35">
      <c r="E192" s="11"/>
      <c r="F192" s="14"/>
      <c r="G192" s="11"/>
      <c r="K192" s="9"/>
      <c r="L192" s="12"/>
      <c r="M192" s="15"/>
      <c r="N192" s="15"/>
    </row>
    <row r="193" spans="5:14" x14ac:dyDescent="0.35">
      <c r="E193" s="11"/>
      <c r="F193" s="14"/>
      <c r="G193" s="11"/>
      <c r="K193" s="9"/>
      <c r="L193" s="12"/>
      <c r="M193" s="15"/>
      <c r="N193" s="15"/>
    </row>
    <row r="194" spans="5:14" x14ac:dyDescent="0.35">
      <c r="E194" s="11"/>
      <c r="F194" s="14"/>
      <c r="G194" s="11"/>
      <c r="K194" s="9"/>
      <c r="L194" s="12"/>
      <c r="M194" s="15"/>
      <c r="N194" s="15"/>
    </row>
    <row r="195" spans="5:14" x14ac:dyDescent="0.35">
      <c r="E195" s="11"/>
      <c r="F195" s="14"/>
      <c r="G195" s="11"/>
      <c r="K195" s="9"/>
      <c r="L195" s="12"/>
      <c r="M195" s="15"/>
      <c r="N195" s="15"/>
    </row>
    <row r="196" spans="5:14" x14ac:dyDescent="0.35">
      <c r="E196" s="11"/>
      <c r="F196" s="14"/>
      <c r="G196" s="11"/>
      <c r="K196" s="9"/>
      <c r="L196" s="12"/>
      <c r="M196" s="15"/>
      <c r="N196" s="15"/>
    </row>
    <row r="197" spans="5:14" x14ac:dyDescent="0.35">
      <c r="E197" s="11"/>
      <c r="F197" s="14"/>
      <c r="G197" s="11"/>
      <c r="K197" s="9"/>
      <c r="L197" s="12"/>
      <c r="M197" s="15"/>
      <c r="N197" s="15"/>
    </row>
    <row r="198" spans="5:14" x14ac:dyDescent="0.35">
      <c r="E198" s="11"/>
      <c r="F198" s="14"/>
      <c r="G198" s="11"/>
      <c r="K198" s="9"/>
      <c r="L198" s="12"/>
      <c r="M198" s="15"/>
      <c r="N198" s="15"/>
    </row>
    <row r="199" spans="5:14" x14ac:dyDescent="0.35">
      <c r="E199" s="11"/>
      <c r="F199" s="14"/>
      <c r="G199" s="11"/>
      <c r="K199" s="9"/>
      <c r="L199" s="12"/>
      <c r="M199" s="15"/>
      <c r="N199" s="15"/>
    </row>
    <row r="200" spans="5:14" x14ac:dyDescent="0.35">
      <c r="E200" s="11"/>
      <c r="F200" s="14"/>
      <c r="G200" s="11"/>
      <c r="K200" s="9"/>
      <c r="L200" s="12"/>
      <c r="M200" s="15"/>
      <c r="N200" s="15"/>
    </row>
    <row r="201" spans="5:14" x14ac:dyDescent="0.35">
      <c r="E201" s="11"/>
      <c r="F201" s="14"/>
      <c r="G201" s="11"/>
      <c r="K201" s="9"/>
      <c r="L201" s="12"/>
      <c r="M201" s="15"/>
      <c r="N201" s="15"/>
    </row>
    <row r="202" spans="5:14" x14ac:dyDescent="0.35">
      <c r="E202" s="11"/>
      <c r="F202" s="14"/>
      <c r="G202" s="11"/>
      <c r="K202" s="9"/>
      <c r="L202" s="12"/>
      <c r="M202" s="15"/>
      <c r="N202" s="15"/>
    </row>
    <row r="203" spans="5:14" x14ac:dyDescent="0.35">
      <c r="E203" s="11"/>
      <c r="F203" s="14"/>
      <c r="G203" s="11"/>
      <c r="K203" s="9"/>
      <c r="L203" s="12"/>
      <c r="M203" s="15"/>
      <c r="N203" s="15"/>
    </row>
    <row r="204" spans="5:14" x14ac:dyDescent="0.35">
      <c r="E204" s="11"/>
      <c r="F204" s="14"/>
      <c r="G204" s="11"/>
      <c r="K204" s="9"/>
      <c r="L204" s="12"/>
      <c r="M204" s="15"/>
      <c r="N204" s="15"/>
    </row>
    <row r="205" spans="5:14" x14ac:dyDescent="0.35">
      <c r="E205" s="11"/>
      <c r="F205" s="14"/>
      <c r="G205" s="11"/>
      <c r="K205" s="9"/>
      <c r="L205" s="12"/>
      <c r="M205" s="15"/>
      <c r="N205" s="15"/>
    </row>
    <row r="206" spans="5:14" x14ac:dyDescent="0.35">
      <c r="E206" s="11"/>
      <c r="F206" s="14"/>
      <c r="G206" s="11"/>
      <c r="K206" s="9"/>
      <c r="L206" s="12"/>
      <c r="M206" s="15"/>
      <c r="N206" s="15"/>
    </row>
    <row r="207" spans="5:14" x14ac:dyDescent="0.35">
      <c r="E207" s="11"/>
      <c r="F207" s="14"/>
      <c r="G207" s="11"/>
      <c r="K207" s="9"/>
      <c r="L207" s="12"/>
      <c r="M207" s="15"/>
      <c r="N207" s="15"/>
    </row>
    <row r="208" spans="5:14" x14ac:dyDescent="0.35">
      <c r="E208" s="11"/>
      <c r="F208" s="14"/>
      <c r="G208" s="11"/>
      <c r="K208" s="9"/>
      <c r="L208" s="12"/>
      <c r="M208" s="15"/>
      <c r="N208" s="15"/>
    </row>
    <row r="209" spans="5:14" x14ac:dyDescent="0.35">
      <c r="E209" s="11"/>
      <c r="F209" s="14"/>
      <c r="G209" s="11"/>
      <c r="K209" s="9"/>
      <c r="L209" s="12"/>
      <c r="M209" s="15"/>
      <c r="N209" s="15"/>
    </row>
    <row r="210" spans="5:14" x14ac:dyDescent="0.35">
      <c r="E210" s="11"/>
      <c r="F210" s="14"/>
      <c r="G210" s="11"/>
      <c r="K210" s="9"/>
      <c r="L210" s="12"/>
      <c r="M210" s="15"/>
      <c r="N210" s="15"/>
    </row>
    <row r="211" spans="5:14" x14ac:dyDescent="0.35">
      <c r="E211" s="11"/>
      <c r="F211" s="14"/>
      <c r="G211" s="11"/>
      <c r="K211" s="9"/>
      <c r="L211" s="12"/>
      <c r="M211" s="15"/>
      <c r="N211" s="15"/>
    </row>
    <row r="212" spans="5:14" x14ac:dyDescent="0.35">
      <c r="E212" s="11"/>
      <c r="F212" s="14"/>
      <c r="G212" s="11"/>
      <c r="K212" s="9"/>
      <c r="L212" s="12"/>
      <c r="M212" s="15"/>
      <c r="N212" s="15"/>
    </row>
    <row r="213" spans="5:14" x14ac:dyDescent="0.35">
      <c r="E213" s="11"/>
      <c r="F213" s="14"/>
      <c r="G213" s="11"/>
      <c r="K213" s="9"/>
      <c r="L213" s="12"/>
      <c r="M213" s="15"/>
      <c r="N213" s="15"/>
    </row>
    <row r="214" spans="5:14" x14ac:dyDescent="0.35">
      <c r="E214" s="11"/>
      <c r="F214" s="14"/>
      <c r="G214" s="11"/>
      <c r="K214" s="9"/>
      <c r="L214" s="12"/>
      <c r="M214" s="15"/>
      <c r="N214" s="15"/>
    </row>
    <row r="215" spans="5:14" x14ac:dyDescent="0.35">
      <c r="E215" s="11"/>
      <c r="F215" s="14"/>
      <c r="G215" s="11"/>
      <c r="K215" s="9"/>
      <c r="L215" s="12"/>
      <c r="M215" s="15"/>
      <c r="N215" s="15"/>
    </row>
    <row r="216" spans="5:14" x14ac:dyDescent="0.35">
      <c r="E216" s="11"/>
      <c r="F216" s="14"/>
      <c r="G216" s="11"/>
      <c r="K216" s="9"/>
      <c r="L216" s="12"/>
      <c r="M216" s="15"/>
      <c r="N216" s="15"/>
    </row>
    <row r="217" spans="5:14" x14ac:dyDescent="0.35">
      <c r="E217" s="11"/>
      <c r="F217" s="14"/>
      <c r="G217" s="11"/>
      <c r="K217" s="9"/>
      <c r="L217" s="12"/>
      <c r="M217" s="15"/>
      <c r="N217" s="15"/>
    </row>
    <row r="218" spans="5:14" x14ac:dyDescent="0.35">
      <c r="E218" s="11"/>
      <c r="F218" s="14"/>
      <c r="G218" s="11"/>
      <c r="K218" s="9"/>
      <c r="L218" s="12"/>
      <c r="M218" s="15"/>
      <c r="N218" s="15"/>
    </row>
    <row r="219" spans="5:14" x14ac:dyDescent="0.35">
      <c r="E219" s="11"/>
      <c r="F219" s="14"/>
      <c r="G219" s="11"/>
      <c r="K219" s="9"/>
      <c r="L219" s="12"/>
      <c r="M219" s="15"/>
      <c r="N219" s="15"/>
    </row>
    <row r="220" spans="5:14" x14ac:dyDescent="0.35">
      <c r="E220" s="11"/>
      <c r="F220" s="14"/>
      <c r="G220" s="11"/>
      <c r="K220" s="9"/>
      <c r="L220" s="12"/>
      <c r="M220" s="15"/>
      <c r="N220" s="15"/>
    </row>
    <row r="221" spans="5:14" x14ac:dyDescent="0.35">
      <c r="E221" s="11"/>
      <c r="F221" s="14"/>
      <c r="G221" s="11"/>
      <c r="K221" s="9"/>
      <c r="L221" s="12"/>
      <c r="M221" s="15"/>
      <c r="N221" s="15"/>
    </row>
    <row r="222" spans="5:14" x14ac:dyDescent="0.35">
      <c r="E222" s="11"/>
      <c r="F222" s="14"/>
      <c r="G222" s="11"/>
      <c r="K222" s="9"/>
      <c r="L222" s="12"/>
      <c r="M222" s="15"/>
      <c r="N222" s="15"/>
    </row>
    <row r="223" spans="5:14" x14ac:dyDescent="0.35">
      <c r="E223" s="11"/>
      <c r="F223" s="14"/>
      <c r="G223" s="11"/>
      <c r="K223" s="9"/>
      <c r="L223" s="12"/>
      <c r="M223" s="15"/>
      <c r="N223" s="15"/>
    </row>
    <row r="224" spans="5:14" x14ac:dyDescent="0.35">
      <c r="E224" s="11"/>
      <c r="F224" s="14"/>
      <c r="G224" s="11"/>
      <c r="K224" s="9"/>
      <c r="L224" s="12"/>
      <c r="M224" s="15"/>
      <c r="N224" s="15"/>
    </row>
    <row r="225" spans="5:14" x14ac:dyDescent="0.35">
      <c r="E225" s="11"/>
      <c r="F225" s="14"/>
      <c r="G225" s="11"/>
      <c r="K225" s="9"/>
      <c r="L225" s="12"/>
      <c r="M225" s="15"/>
      <c r="N225" s="15"/>
    </row>
    <row r="226" spans="5:14" x14ac:dyDescent="0.35">
      <c r="E226" s="11"/>
      <c r="F226" s="14"/>
      <c r="G226" s="11"/>
      <c r="K226" s="9"/>
      <c r="L226" s="12"/>
      <c r="M226" s="15"/>
      <c r="N226" s="15"/>
    </row>
    <row r="227" spans="5:14" x14ac:dyDescent="0.35">
      <c r="E227" s="11"/>
      <c r="F227" s="14"/>
      <c r="G227" s="11"/>
      <c r="K227" s="9"/>
      <c r="L227" s="12"/>
      <c r="M227" s="15"/>
      <c r="N227" s="15"/>
    </row>
    <row r="228" spans="5:14" x14ac:dyDescent="0.35">
      <c r="E228" s="11"/>
      <c r="F228" s="14"/>
      <c r="G228" s="11"/>
      <c r="K228" s="9"/>
      <c r="L228" s="12"/>
      <c r="M228" s="15"/>
      <c r="N228" s="15"/>
    </row>
    <row r="229" spans="5:14" x14ac:dyDescent="0.35">
      <c r="E229" s="11"/>
      <c r="F229" s="14"/>
      <c r="G229" s="11"/>
      <c r="K229" s="9"/>
      <c r="L229" s="12"/>
      <c r="M229" s="15"/>
      <c r="N229" s="15"/>
    </row>
    <row r="230" spans="5:14" x14ac:dyDescent="0.35">
      <c r="E230" s="11"/>
      <c r="F230" s="14"/>
      <c r="G230" s="11"/>
      <c r="K230" s="9"/>
      <c r="L230" s="12"/>
      <c r="M230" s="15"/>
      <c r="N230" s="15"/>
    </row>
    <row r="231" spans="5:14" x14ac:dyDescent="0.35">
      <c r="E231" s="11"/>
      <c r="F231" s="14"/>
      <c r="G231" s="11"/>
      <c r="K231" s="9"/>
      <c r="L231" s="12"/>
      <c r="M231" s="15"/>
      <c r="N231" s="15"/>
    </row>
    <row r="232" spans="5:14" x14ac:dyDescent="0.35">
      <c r="E232" s="11"/>
      <c r="F232" s="14"/>
      <c r="G232" s="11"/>
      <c r="K232" s="9"/>
      <c r="L232" s="12"/>
      <c r="M232" s="15"/>
      <c r="N232" s="15"/>
    </row>
    <row r="233" spans="5:14" x14ac:dyDescent="0.35">
      <c r="E233" s="11"/>
      <c r="F233" s="14"/>
      <c r="G233" s="11"/>
      <c r="K233" s="9"/>
      <c r="L233" s="12"/>
      <c r="M233" s="15"/>
      <c r="N233" s="15"/>
    </row>
    <row r="234" spans="5:14" x14ac:dyDescent="0.35">
      <c r="E234" s="11"/>
      <c r="F234" s="14"/>
      <c r="G234" s="11"/>
      <c r="K234" s="9"/>
      <c r="L234" s="12"/>
      <c r="M234" s="15"/>
      <c r="N234" s="15"/>
    </row>
    <row r="235" spans="5:14" x14ac:dyDescent="0.35">
      <c r="E235" s="11"/>
      <c r="F235" s="14"/>
      <c r="G235" s="11"/>
      <c r="K235" s="9"/>
      <c r="L235" s="12"/>
      <c r="M235" s="15"/>
      <c r="N235" s="15"/>
    </row>
    <row r="236" spans="5:14" x14ac:dyDescent="0.35">
      <c r="E236" s="11"/>
      <c r="F236" s="14"/>
      <c r="G236" s="11"/>
      <c r="K236" s="9"/>
      <c r="L236" s="12"/>
      <c r="M236" s="15"/>
      <c r="N236" s="15"/>
    </row>
    <row r="237" spans="5:14" x14ac:dyDescent="0.35">
      <c r="E237" s="11"/>
      <c r="F237" s="14"/>
      <c r="G237" s="11"/>
      <c r="K237" s="9"/>
      <c r="L237" s="12"/>
      <c r="M237" s="15"/>
      <c r="N237" s="15"/>
    </row>
    <row r="238" spans="5:14" x14ac:dyDescent="0.35">
      <c r="E238" s="11"/>
      <c r="F238" s="14"/>
      <c r="G238" s="11"/>
      <c r="K238" s="9"/>
      <c r="L238" s="12"/>
      <c r="M238" s="15"/>
      <c r="N238" s="15"/>
    </row>
    <row r="239" spans="5:14" x14ac:dyDescent="0.35">
      <c r="E239" s="11"/>
      <c r="F239" s="14"/>
      <c r="G239" s="11"/>
      <c r="K239" s="9"/>
      <c r="L239" s="12"/>
      <c r="M239" s="15"/>
      <c r="N239" s="15"/>
    </row>
    <row r="240" spans="5:14" x14ac:dyDescent="0.35">
      <c r="E240" s="11"/>
      <c r="F240" s="14"/>
      <c r="G240" s="11"/>
      <c r="K240" s="9"/>
      <c r="L240" s="12"/>
      <c r="M240" s="15"/>
      <c r="N240" s="15"/>
    </row>
    <row r="241" spans="5:14" x14ac:dyDescent="0.35">
      <c r="E241" s="11"/>
      <c r="F241" s="14"/>
      <c r="G241" s="11"/>
      <c r="K241" s="9"/>
      <c r="L241" s="12"/>
      <c r="M241" s="15"/>
      <c r="N241" s="15"/>
    </row>
    <row r="242" spans="5:14" x14ac:dyDescent="0.35">
      <c r="E242" s="11"/>
      <c r="F242" s="14"/>
      <c r="G242" s="11"/>
      <c r="K242" s="9"/>
      <c r="L242" s="12"/>
      <c r="M242" s="15"/>
      <c r="N242" s="15"/>
    </row>
    <row r="243" spans="5:14" x14ac:dyDescent="0.35">
      <c r="E243" s="11"/>
      <c r="F243" s="14"/>
      <c r="G243" s="11"/>
      <c r="K243" s="9"/>
      <c r="L243" s="12"/>
      <c r="M243" s="15"/>
      <c r="N243" s="15"/>
    </row>
    <row r="244" spans="5:14" x14ac:dyDescent="0.35">
      <c r="E244" s="11"/>
      <c r="F244" s="14"/>
      <c r="G244" s="11"/>
      <c r="K244" s="9"/>
      <c r="L244" s="12"/>
      <c r="M244" s="15"/>
      <c r="N244" s="15"/>
    </row>
    <row r="245" spans="5:14" x14ac:dyDescent="0.35">
      <c r="E245" s="11"/>
      <c r="F245" s="14"/>
      <c r="G245" s="11"/>
      <c r="K245" s="9"/>
      <c r="L245" s="12"/>
      <c r="M245" s="15"/>
      <c r="N245" s="15"/>
    </row>
    <row r="246" spans="5:14" x14ac:dyDescent="0.35">
      <c r="E246" s="11"/>
      <c r="F246" s="14"/>
      <c r="G246" s="11"/>
      <c r="K246" s="9"/>
      <c r="L246" s="12"/>
      <c r="M246" s="15"/>
      <c r="N246" s="15"/>
    </row>
    <row r="247" spans="5:14" x14ac:dyDescent="0.35">
      <c r="E247" s="11"/>
      <c r="F247" s="14"/>
      <c r="G247" s="11"/>
      <c r="K247" s="9"/>
      <c r="L247" s="12"/>
      <c r="M247" s="15"/>
      <c r="N247" s="15"/>
    </row>
    <row r="248" spans="5:14" x14ac:dyDescent="0.35">
      <c r="E248" s="11"/>
      <c r="F248" s="14"/>
      <c r="G248" s="11"/>
      <c r="K248" s="9"/>
      <c r="L248" s="12"/>
      <c r="M248" s="15"/>
      <c r="N248" s="15"/>
    </row>
    <row r="249" spans="5:14" x14ac:dyDescent="0.35">
      <c r="E249" s="11"/>
      <c r="F249" s="14"/>
      <c r="G249" s="11"/>
      <c r="K249" s="9"/>
      <c r="L249" s="12"/>
      <c r="M249" s="15"/>
      <c r="N249" s="15"/>
    </row>
    <row r="250" spans="5:14" x14ac:dyDescent="0.35">
      <c r="E250" s="11"/>
      <c r="F250" s="14"/>
      <c r="G250" s="11"/>
      <c r="K250" s="9"/>
      <c r="L250" s="12"/>
      <c r="M250" s="15"/>
      <c r="N250" s="15"/>
    </row>
    <row r="251" spans="5:14" x14ac:dyDescent="0.35">
      <c r="E251" s="11"/>
      <c r="F251" s="14"/>
      <c r="G251" s="11"/>
      <c r="K251" s="9"/>
      <c r="L251" s="12"/>
      <c r="M251" s="15"/>
      <c r="N251" s="15"/>
    </row>
    <row r="252" spans="5:14" x14ac:dyDescent="0.35">
      <c r="E252" s="11"/>
      <c r="F252" s="14"/>
      <c r="G252" s="11"/>
      <c r="K252" s="9"/>
      <c r="L252" s="12"/>
      <c r="M252" s="15"/>
      <c r="N252" s="15"/>
    </row>
    <row r="253" spans="5:14" x14ac:dyDescent="0.35">
      <c r="E253" s="11"/>
      <c r="F253" s="14"/>
      <c r="G253" s="11"/>
      <c r="K253" s="9"/>
      <c r="L253" s="12"/>
      <c r="M253" s="15"/>
      <c r="N253" s="15"/>
    </row>
    <row r="254" spans="5:14" x14ac:dyDescent="0.35">
      <c r="E254" s="11"/>
      <c r="F254" s="14"/>
      <c r="G254" s="11"/>
      <c r="K254" s="9"/>
      <c r="L254" s="12"/>
      <c r="M254" s="15"/>
      <c r="N254" s="15"/>
    </row>
    <row r="255" spans="5:14" x14ac:dyDescent="0.35">
      <c r="E255" s="11"/>
      <c r="F255" s="14"/>
      <c r="G255" s="11"/>
      <c r="K255" s="9"/>
      <c r="L255" s="12"/>
      <c r="M255" s="15"/>
      <c r="N255" s="15"/>
    </row>
    <row r="256" spans="5:14" x14ac:dyDescent="0.35">
      <c r="E256" s="11"/>
      <c r="F256" s="14"/>
      <c r="G256" s="11"/>
      <c r="K256" s="9"/>
      <c r="L256" s="12"/>
      <c r="M256" s="15"/>
      <c r="N256" s="15"/>
    </row>
    <row r="257" spans="5:14" x14ac:dyDescent="0.35">
      <c r="E257" s="11"/>
      <c r="F257" s="14"/>
      <c r="G257" s="11"/>
      <c r="K257" s="9"/>
      <c r="L257" s="12"/>
      <c r="M257" s="15"/>
      <c r="N257" s="15"/>
    </row>
    <row r="258" spans="5:14" x14ac:dyDescent="0.35">
      <c r="E258" s="11"/>
      <c r="F258" s="14"/>
      <c r="G258" s="11"/>
      <c r="K258" s="9"/>
      <c r="L258" s="12"/>
      <c r="M258" s="15"/>
      <c r="N258" s="15"/>
    </row>
    <row r="259" spans="5:14" x14ac:dyDescent="0.35">
      <c r="E259" s="11"/>
      <c r="F259" s="14"/>
      <c r="G259" s="11"/>
      <c r="K259" s="9"/>
      <c r="L259" s="12"/>
      <c r="M259" s="15"/>
      <c r="N259" s="15"/>
    </row>
    <row r="260" spans="5:14" x14ac:dyDescent="0.35">
      <c r="E260" s="11"/>
      <c r="F260" s="14"/>
      <c r="G260" s="11"/>
      <c r="K260" s="9"/>
      <c r="L260" s="12"/>
      <c r="M260" s="15"/>
      <c r="N260" s="15"/>
    </row>
    <row r="261" spans="5:14" x14ac:dyDescent="0.35">
      <c r="E261" s="11"/>
      <c r="F261" s="14"/>
      <c r="G261" s="11"/>
      <c r="K261" s="9"/>
      <c r="L261" s="12"/>
      <c r="M261" s="15"/>
      <c r="N261" s="15"/>
    </row>
    <row r="262" spans="5:14" x14ac:dyDescent="0.35">
      <c r="E262" s="11"/>
      <c r="F262" s="14"/>
      <c r="G262" s="11"/>
      <c r="K262" s="9"/>
      <c r="L262" s="12"/>
      <c r="M262" s="15"/>
      <c r="N262" s="15"/>
    </row>
    <row r="263" spans="5:14" x14ac:dyDescent="0.35">
      <c r="E263" s="11"/>
      <c r="F263" s="14"/>
      <c r="G263" s="11"/>
      <c r="K263" s="9"/>
      <c r="L263" s="12"/>
      <c r="M263" s="15"/>
      <c r="N263" s="15"/>
    </row>
    <row r="264" spans="5:14" x14ac:dyDescent="0.35">
      <c r="E264" s="11"/>
      <c r="F264" s="14"/>
      <c r="G264" s="11"/>
      <c r="K264" s="9"/>
      <c r="L264" s="12"/>
      <c r="M264" s="15"/>
      <c r="N264" s="15"/>
    </row>
    <row r="265" spans="5:14" x14ac:dyDescent="0.35">
      <c r="E265" s="11"/>
      <c r="F265" s="14"/>
      <c r="G265" s="11"/>
      <c r="K265" s="9"/>
      <c r="L265" s="12"/>
      <c r="M265" s="15"/>
      <c r="N265" s="15"/>
    </row>
    <row r="266" spans="5:14" x14ac:dyDescent="0.35">
      <c r="E266" s="11"/>
      <c r="F266" s="14"/>
      <c r="G266" s="11"/>
      <c r="K266" s="9"/>
      <c r="L266" s="12"/>
      <c r="M266" s="15"/>
      <c r="N266" s="15"/>
    </row>
    <row r="267" spans="5:14" x14ac:dyDescent="0.35">
      <c r="E267" s="11"/>
      <c r="F267" s="14"/>
      <c r="G267" s="11"/>
      <c r="K267" s="9"/>
      <c r="L267" s="12"/>
      <c r="M267" s="15"/>
      <c r="N267" s="15"/>
    </row>
  </sheetData>
  <mergeCells count="14">
    <mergeCell ref="M24:M25"/>
    <mergeCell ref="E24:E25"/>
    <mergeCell ref="F24:F25"/>
    <mergeCell ref="G24:G25"/>
    <mergeCell ref="I24:I25"/>
    <mergeCell ref="K24:K25"/>
    <mergeCell ref="L24:L25"/>
    <mergeCell ref="S23:T23"/>
    <mergeCell ref="C11:F11"/>
    <mergeCell ref="C12:F12"/>
    <mergeCell ref="C13:F13"/>
    <mergeCell ref="C14:F14"/>
    <mergeCell ref="E21:G22"/>
    <mergeCell ref="K20:M22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condicionando</vt:lpstr>
      <vt:lpstr>divid</vt:lpstr>
      <vt:lpstr>K</vt:lpstr>
      <vt:lpstr>plazo1</vt:lpstr>
      <vt:lpstr>plazo2</vt:lpstr>
      <vt:lpstr>q</vt:lpstr>
      <vt:lpstr>sigma</vt:lpstr>
      <vt:lpstr>spot</vt:lpstr>
      <vt:lpstr>tipo</vt:lpstr>
    </vt:vector>
  </TitlesOfParts>
  <Company>TIF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jlfernandez</dc:creator>
  <cp:lastModifiedBy>José Javier Calderón Coronado</cp:lastModifiedBy>
  <dcterms:created xsi:type="dcterms:W3CDTF">2009-03-05T09:18:26Z</dcterms:created>
  <dcterms:modified xsi:type="dcterms:W3CDTF">2025-01-31T13:57:51Z</dcterms:modified>
</cp:coreProperties>
</file>