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2025_02_Valoracion_LK\Valoración\Documentación\2. Marco Black. Tipos\2. Valoración. Marco Black. Tipos. Ejercicios\"/>
    </mc:Choice>
  </mc:AlternateContent>
  <xr:revisionPtr revIDLastSave="0" documentId="13_ncr:1_{5C94C4DF-C6F3-4D8B-83B6-6FD10695FEA9}" xr6:coauthVersionLast="47" xr6:coauthVersionMax="47" xr10:uidLastSave="{00000000-0000-0000-0000-000000000000}"/>
  <bookViews>
    <workbookView xWindow="28680" yWindow="-120" windowWidth="38640" windowHeight="15720" xr2:uid="{00000000-000D-0000-FFFF-FFFF00000000}"/>
  </bookViews>
  <sheets>
    <sheet name="Hoja1" sheetId="1" r:id="rId1"/>
  </sheets>
  <functionGroups builtInGroupCount="19"/>
  <definedNames>
    <definedName name="deltat">Hoja1!$G$6</definedName>
    <definedName name="vola">Hoja1!$I$11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2" i="1" l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I13" i="1" l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1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10" i="1"/>
  <c r="H31" i="1"/>
  <c r="H32" i="1"/>
  <c r="H46" i="1"/>
  <c r="H56" i="1"/>
  <c r="H89" i="1"/>
  <c r="H80" i="1"/>
  <c r="H37" i="1"/>
  <c r="H90" i="1"/>
  <c r="H45" i="1"/>
  <c r="H62" i="1"/>
  <c r="H78" i="1"/>
  <c r="H26" i="1"/>
  <c r="H86" i="1"/>
  <c r="H13" i="1"/>
  <c r="H58" i="1"/>
  <c r="H20" i="1"/>
  <c r="H82" i="1"/>
  <c r="H29" i="1"/>
  <c r="H57" i="1"/>
  <c r="H66" i="1"/>
  <c r="H48" i="1"/>
  <c r="H44" i="1"/>
  <c r="H17" i="1"/>
  <c r="H36" i="1"/>
  <c r="H61" i="1"/>
  <c r="H42" i="1"/>
  <c r="H18" i="1"/>
  <c r="H27" i="1"/>
  <c r="H85" i="1"/>
  <c r="H50" i="1"/>
  <c r="H83" i="1"/>
  <c r="H91" i="1"/>
  <c r="H75" i="1"/>
  <c r="H16" i="1"/>
  <c r="H11" i="1"/>
  <c r="H59" i="1"/>
  <c r="H19" i="1"/>
  <c r="H23" i="1"/>
  <c r="H41" i="1"/>
  <c r="H72" i="1"/>
  <c r="H53" i="1"/>
  <c r="H47" i="1"/>
  <c r="H25" i="1"/>
  <c r="H60" i="1"/>
  <c r="H30" i="1"/>
  <c r="H64" i="1"/>
  <c r="H28" i="1"/>
  <c r="H34" i="1"/>
  <c r="H71" i="1"/>
  <c r="H63" i="1"/>
  <c r="H68" i="1"/>
  <c r="H79" i="1"/>
  <c r="H74" i="1"/>
  <c r="H69" i="1"/>
  <c r="H39" i="1"/>
  <c r="H67" i="1"/>
  <c r="H14" i="1"/>
  <c r="H81" i="1"/>
  <c r="H54" i="1"/>
  <c r="H35" i="1"/>
  <c r="H40" i="1"/>
  <c r="H33" i="1"/>
  <c r="H73" i="1"/>
  <c r="H43" i="1"/>
  <c r="H88" i="1"/>
  <c r="H70" i="1"/>
  <c r="H65" i="1"/>
  <c r="H12" i="1"/>
  <c r="H24" i="1"/>
  <c r="H51" i="1"/>
  <c r="H15" i="1"/>
  <c r="H22" i="1"/>
  <c r="H87" i="1"/>
  <c r="H77" i="1"/>
  <c r="H76" i="1"/>
  <c r="H10" i="1"/>
  <c r="H38" i="1"/>
  <c r="H55" i="1"/>
  <c r="H49" i="1"/>
  <c r="H52" i="1"/>
  <c r="H84" i="1"/>
  <c r="H21" i="1"/>
  <c r="N56" i="1" l="1"/>
  <c r="O56" i="1"/>
</calcChain>
</file>

<file path=xl/sharedStrings.xml><?xml version="1.0" encoding="utf-8"?>
<sst xmlns="http://schemas.openxmlformats.org/spreadsheetml/2006/main" count="23" uniqueCount="21">
  <si>
    <t>FECHA</t>
  </si>
  <si>
    <t>PLAZO</t>
  </si>
  <si>
    <t>FD</t>
  </si>
  <si>
    <t>fecha hoy</t>
  </si>
  <si>
    <t>trimestres</t>
  </si>
  <si>
    <t>deltat</t>
  </si>
  <si>
    <t>anualidad10</t>
  </si>
  <si>
    <t>descuentos</t>
  </si>
  <si>
    <t>plazo</t>
  </si>
  <si>
    <t>alpha</t>
  </si>
  <si>
    <t>beta</t>
  </si>
  <si>
    <t>Liquidador</t>
  </si>
  <si>
    <t>corrección</t>
  </si>
  <si>
    <t>volas</t>
  </si>
  <si>
    <t>valor</t>
  </si>
  <si>
    <t>valor total</t>
  </si>
  <si>
    <t>Valoración del bono con cupones trimestrales en función del CMS 10Y</t>
  </si>
  <si>
    <t>fswap10 (hoy)</t>
  </si>
  <si>
    <t>Valoración "naive"</t>
  </si>
  <si>
    <t>Impacto de la volatilidad sobre el valor total del instrumento</t>
  </si>
  <si>
    <t>desc*fwdswap*periodo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</si>
</sst>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%"/>
    <numFmt numFmtId="165" formatCode="0.0000%"/>
    <numFmt numFmtId="166" formatCode="0.00000"/>
  </numFmts>
  <fonts count="8" x14ac:knownFonts="1">
    <font>
      <sz val="11"/>
      <color theme="1"/>
      <name val="Amasis MT Pro"/>
      <family val="2"/>
      <scheme val="minor"/>
    </font>
    <font>
      <sz val="11"/>
      <color theme="1"/>
      <name val="Amasis MT Pro"/>
      <family val="2"/>
      <scheme val="minor"/>
    </font>
    <font>
      <b/>
      <sz val="11"/>
      <color theme="1"/>
      <name val="Amasis MT Pro"/>
      <family val="2"/>
      <scheme val="minor"/>
    </font>
    <font>
      <b/>
      <i/>
      <sz val="11"/>
      <color theme="1"/>
      <name val="Amasis MT Pro"/>
      <family val="2"/>
      <scheme val="minor"/>
    </font>
    <font>
      <i/>
      <sz val="11"/>
      <color theme="1"/>
      <name val="Amasis MT Pro"/>
      <family val="2"/>
      <scheme val="minor"/>
    </font>
    <font>
      <b/>
      <sz val="11"/>
      <color theme="0"/>
      <name val="Amasis MT Pro"/>
      <family val="2"/>
      <scheme val="minor"/>
    </font>
    <font>
      <b/>
      <sz val="11"/>
      <color theme="4"/>
      <name val="Amasis MT Pro"/>
      <family val="2"/>
      <scheme val="minor"/>
    </font>
    <font>
      <b/>
      <i/>
      <sz val="11"/>
      <color theme="0"/>
      <name val="Amasis MT Pro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3">
    <xf numFmtId="0" fontId="0" fillId="0" borderId="0" xfId="0"/>
    <xf numFmtId="15" fontId="0" fillId="0" borderId="0" xfId="0" applyNumberFormat="1"/>
    <xf numFmtId="10" fontId="0" fillId="0" borderId="0" xfId="0" applyNumberFormat="1"/>
    <xf numFmtId="165" fontId="1" fillId="0" borderId="0" xfId="1" applyNumberFormat="1" applyFont="1"/>
    <xf numFmtId="0" fontId="3" fillId="0" borderId="0" xfId="0" applyFont="1"/>
    <xf numFmtId="164" fontId="1" fillId="0" borderId="0" xfId="1" applyNumberFormat="1" applyFont="1"/>
    <xf numFmtId="0" fontId="0" fillId="2" borderId="0" xfId="0" applyFill="1"/>
    <xf numFmtId="10" fontId="0" fillId="2" borderId="0" xfId="0" applyNumberFormat="1" applyFill="1"/>
    <xf numFmtId="0" fontId="0" fillId="0" borderId="0" xfId="0" applyAlignment="1">
      <alignment horizontal="center"/>
    </xf>
    <xf numFmtId="10" fontId="1" fillId="0" borderId="0" xfId="1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10" xfId="0" applyBorder="1" applyAlignment="1">
      <alignment horizontal="center"/>
    </xf>
    <xf numFmtId="0" fontId="4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0" fontId="3" fillId="3" borderId="12" xfId="0" applyNumberFormat="1" applyFont="1" applyFill="1" applyBorder="1" applyAlignment="1">
      <alignment horizontal="center"/>
    </xf>
    <xf numFmtId="10" fontId="0" fillId="3" borderId="0" xfId="0" applyNumberFormat="1" applyFill="1"/>
    <xf numFmtId="9" fontId="0" fillId="3" borderId="0" xfId="0" applyNumberFormat="1" applyFill="1"/>
    <xf numFmtId="10" fontId="1" fillId="0" borderId="1" xfId="1" applyNumberFormat="1" applyFont="1" applyBorder="1"/>
    <xf numFmtId="10" fontId="1" fillId="0" borderId="3" xfId="1" applyNumberFormat="1" applyFont="1" applyBorder="1"/>
    <xf numFmtId="10" fontId="1" fillId="0" borderId="4" xfId="1" applyNumberFormat="1" applyFont="1" applyBorder="1"/>
    <xf numFmtId="10" fontId="1" fillId="0" borderId="5" xfId="1" applyNumberFormat="1" applyFont="1" applyBorder="1"/>
    <xf numFmtId="10" fontId="1" fillId="0" borderId="6" xfId="1" applyNumberFormat="1" applyFont="1" applyBorder="1"/>
    <xf numFmtId="10" fontId="1" fillId="0" borderId="8" xfId="1" applyNumberFormat="1" applyFont="1" applyBorder="1"/>
    <xf numFmtId="164" fontId="0" fillId="0" borderId="0" xfId="0" applyNumberFormat="1"/>
    <xf numFmtId="10" fontId="0" fillId="4" borderId="0" xfId="0" applyNumberFormat="1" applyFill="1" applyAlignment="1">
      <alignment horizontal="center"/>
    </xf>
    <xf numFmtId="10" fontId="1" fillId="4" borderId="0" xfId="1" applyNumberFormat="1" applyFont="1" applyFill="1" applyAlignment="1">
      <alignment horizontal="center"/>
    </xf>
    <xf numFmtId="164" fontId="0" fillId="0" borderId="0" xfId="1" applyNumberFormat="1" applyFont="1" applyAlignment="1">
      <alignment horizontal="center"/>
    </xf>
    <xf numFmtId="0" fontId="5" fillId="5" borderId="0" xfId="0" applyFont="1" applyFill="1"/>
    <xf numFmtId="15" fontId="6" fillId="0" borderId="0" xfId="0" applyNumberFormat="1" applyFont="1"/>
    <xf numFmtId="0" fontId="5" fillId="5" borderId="0" xfId="0" applyFont="1" applyFill="1" applyAlignment="1">
      <alignment horizontal="center"/>
    </xf>
    <xf numFmtId="15" fontId="2" fillId="6" borderId="1" xfId="0" applyNumberFormat="1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10" fontId="2" fillId="6" borderId="3" xfId="0" applyNumberFormat="1" applyFont="1" applyFill="1" applyBorder="1" applyAlignment="1">
      <alignment horizontal="center"/>
    </xf>
    <xf numFmtId="15" fontId="2" fillId="6" borderId="4" xfId="0" applyNumberFormat="1" applyFont="1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10" fontId="2" fillId="6" borderId="5" xfId="0" applyNumberFormat="1" applyFont="1" applyFill="1" applyBorder="1" applyAlignment="1">
      <alignment horizontal="center"/>
    </xf>
    <xf numFmtId="15" fontId="2" fillId="6" borderId="6" xfId="0" applyNumberFormat="1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10" fontId="2" fillId="6" borderId="8" xfId="0" applyNumberFormat="1" applyFont="1" applyFill="1" applyBorder="1" applyAlignment="1">
      <alignment horizontal="center"/>
    </xf>
    <xf numFmtId="0" fontId="7" fillId="5" borderId="0" xfId="0" applyFont="1" applyFill="1" applyAlignment="1">
      <alignment horizontal="center"/>
    </xf>
    <xf numFmtId="0" fontId="5" fillId="5" borderId="9" xfId="0" applyFont="1" applyFill="1" applyBorder="1" applyAlignment="1">
      <alignment horizontal="center"/>
    </xf>
    <xf numFmtId="0" fontId="7" fillId="5" borderId="11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08333333333332"/>
          <c:y val="4.8611111111111112E-2"/>
          <c:w val="0.6"/>
          <c:h val="0.77430555555555558"/>
        </c:manualLayout>
      </c:layout>
      <c:lineChart>
        <c:grouping val="standard"/>
        <c:varyColors val="0"/>
        <c:ser>
          <c:idx val="0"/>
          <c:order val="0"/>
          <c:tx>
            <c:v>con ajuste</c:v>
          </c:tx>
          <c:marker>
            <c:symbol val="none"/>
          </c:marker>
          <c:cat>
            <c:numRef>
              <c:f>Hoja1!$M$57:$M$117</c:f>
              <c:numCache>
                <c:formatCode>0%</c:formatCode>
                <c:ptCount val="6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</c:numCache>
            </c:numRef>
          </c:cat>
          <c:val>
            <c:numRef>
              <c:f>Hoja1!$N$57:$N$117</c:f>
              <c:numCache>
                <c:formatCode>0.00%</c:formatCode>
                <c:ptCount val="6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67-4ECB-8621-7ED066CC3142}"/>
            </c:ext>
          </c:extLst>
        </c:ser>
        <c:ser>
          <c:idx val="1"/>
          <c:order val="1"/>
          <c:tx>
            <c:v>sin ajuste</c:v>
          </c:tx>
          <c:marker>
            <c:symbol val="none"/>
          </c:marker>
          <c:cat>
            <c:numRef>
              <c:f>Hoja1!$M$57:$M$117</c:f>
              <c:numCache>
                <c:formatCode>0%</c:formatCode>
                <c:ptCount val="6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</c:numCache>
            </c:numRef>
          </c:cat>
          <c:val>
            <c:numRef>
              <c:f>Hoja1!$O$57:$O$117</c:f>
              <c:numCache>
                <c:formatCode>0.00%</c:formatCode>
                <c:ptCount val="6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67-4ECB-8621-7ED066CC3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070400"/>
        <c:axId val="90194304"/>
      </c:lineChart>
      <c:catAx>
        <c:axId val="46070400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90194304"/>
        <c:crosses val="autoZero"/>
        <c:auto val="1"/>
        <c:lblAlgn val="ctr"/>
        <c:lblOffset val="100"/>
        <c:noMultiLvlLbl val="0"/>
      </c:catAx>
      <c:valAx>
        <c:axId val="90194304"/>
        <c:scaling>
          <c:orientation val="minMax"/>
          <c:max val="1.7"/>
          <c:min val="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46070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50000000000001"/>
          <c:y val="4.8611111111111112E-2"/>
          <c:w val="0.61250000000000004"/>
          <c:h val="0.77083333333333337"/>
        </c:manualLayout>
      </c:layout>
      <c:lineChart>
        <c:grouping val="standard"/>
        <c:varyColors val="0"/>
        <c:ser>
          <c:idx val="0"/>
          <c:order val="0"/>
          <c:tx>
            <c:v>con ajuste</c:v>
          </c:tx>
          <c:marker>
            <c:symbol val="none"/>
          </c:marker>
          <c:cat>
            <c:numRef>
              <c:f>Hoja1!$F$11:$F$49</c:f>
              <c:numCache>
                <c:formatCode>General</c:formatCode>
                <c:ptCount val="39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0">
                  <c:v>5.25</c:v>
                </c:pt>
                <c:pt idx="21">
                  <c:v>5.5</c:v>
                </c:pt>
                <c:pt idx="22">
                  <c:v>5.75</c:v>
                </c:pt>
                <c:pt idx="23">
                  <c:v>6</c:v>
                </c:pt>
                <c:pt idx="24">
                  <c:v>6.25</c:v>
                </c:pt>
                <c:pt idx="25">
                  <c:v>6.5</c:v>
                </c:pt>
                <c:pt idx="26">
                  <c:v>6.75</c:v>
                </c:pt>
                <c:pt idx="27">
                  <c:v>7</c:v>
                </c:pt>
                <c:pt idx="28">
                  <c:v>7.25</c:v>
                </c:pt>
                <c:pt idx="29">
                  <c:v>7.5</c:v>
                </c:pt>
                <c:pt idx="30">
                  <c:v>7.75</c:v>
                </c:pt>
                <c:pt idx="31">
                  <c:v>8</c:v>
                </c:pt>
                <c:pt idx="32">
                  <c:v>8.25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</c:numCache>
            </c:numRef>
          </c:cat>
          <c:val>
            <c:numRef>
              <c:f>Hoja1!$R$11:$R$49</c:f>
              <c:numCache>
                <c:formatCode>0.000%</c:formatCode>
                <c:ptCount val="3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2E-4A77-A008-0F4620F11E5B}"/>
            </c:ext>
          </c:extLst>
        </c:ser>
        <c:ser>
          <c:idx val="1"/>
          <c:order val="1"/>
          <c:tx>
            <c:v>sin ajuste</c:v>
          </c:tx>
          <c:marker>
            <c:symbol val="none"/>
          </c:marker>
          <c:cat>
            <c:numRef>
              <c:f>Hoja1!$F$11:$F$49</c:f>
              <c:numCache>
                <c:formatCode>General</c:formatCode>
                <c:ptCount val="39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0">
                  <c:v>5.25</c:v>
                </c:pt>
                <c:pt idx="21">
                  <c:v>5.5</c:v>
                </c:pt>
                <c:pt idx="22">
                  <c:v>5.75</c:v>
                </c:pt>
                <c:pt idx="23">
                  <c:v>6</c:v>
                </c:pt>
                <c:pt idx="24">
                  <c:v>6.25</c:v>
                </c:pt>
                <c:pt idx="25">
                  <c:v>6.5</c:v>
                </c:pt>
                <c:pt idx="26">
                  <c:v>6.75</c:v>
                </c:pt>
                <c:pt idx="27">
                  <c:v>7</c:v>
                </c:pt>
                <c:pt idx="28">
                  <c:v>7.25</c:v>
                </c:pt>
                <c:pt idx="29">
                  <c:v>7.5</c:v>
                </c:pt>
                <c:pt idx="30">
                  <c:v>7.75</c:v>
                </c:pt>
                <c:pt idx="31">
                  <c:v>8</c:v>
                </c:pt>
                <c:pt idx="32">
                  <c:v>8.25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</c:numCache>
            </c:numRef>
          </c:cat>
          <c:val>
            <c:numRef>
              <c:f>Hoja1!$T$11:$T$49</c:f>
              <c:numCache>
                <c:formatCode>0.000%</c:formatCode>
                <c:ptCount val="3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2E-4A77-A008-0F4620F11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211840"/>
        <c:axId val="90213376"/>
      </c:lineChart>
      <c:catAx>
        <c:axId val="90211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0213376"/>
        <c:crosses val="autoZero"/>
        <c:auto val="1"/>
        <c:lblAlgn val="ctr"/>
        <c:lblOffset val="100"/>
        <c:noMultiLvlLbl val="0"/>
      </c:catAx>
      <c:valAx>
        <c:axId val="90213376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902118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38100</xdr:colOff>
      <xdr:row>26</xdr:row>
      <xdr:rowOff>114300</xdr:rowOff>
    </xdr:from>
    <xdr:to>
      <xdr:col>29</xdr:col>
      <xdr:colOff>38100</xdr:colOff>
      <xdr:row>41</xdr:row>
      <xdr:rowOff>142875</xdr:rowOff>
    </xdr:to>
    <xdr:graphicFrame macro="">
      <xdr:nvGraphicFramePr>
        <xdr:cNvPr id="1030" name="1 Gráfico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76200</xdr:colOff>
      <xdr:row>11</xdr:row>
      <xdr:rowOff>47625</xdr:rowOff>
    </xdr:from>
    <xdr:to>
      <xdr:col>29</xdr:col>
      <xdr:colOff>76200</xdr:colOff>
      <xdr:row>25</xdr:row>
      <xdr:rowOff>114300</xdr:rowOff>
    </xdr:to>
    <xdr:graphicFrame macro="">
      <xdr:nvGraphicFramePr>
        <xdr:cNvPr id="1031" name="2 Gráfico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23</xdr:col>
      <xdr:colOff>1</xdr:colOff>
      <xdr:row>1</xdr:row>
      <xdr:rowOff>171450</xdr:rowOff>
    </xdr:from>
    <xdr:to>
      <xdr:col>26</xdr:col>
      <xdr:colOff>695435</xdr:colOff>
      <xdr:row>5</xdr:row>
      <xdr:rowOff>85725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02051" y="361950"/>
          <a:ext cx="3070334" cy="8001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38100</xdr:colOff>
      <xdr:row>6</xdr:row>
      <xdr:rowOff>142876</xdr:rowOff>
    </xdr:from>
    <xdr:to>
      <xdr:col>29</xdr:col>
      <xdr:colOff>482600</xdr:colOff>
      <xdr:row>9</xdr:row>
      <xdr:rowOff>126404</xdr:rowOff>
    </xdr:to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40150" y="1285876"/>
          <a:ext cx="5191125" cy="662978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Colores_Afi_2024">
  <a:themeElements>
    <a:clrScheme name="Afi_Paleta Pptx">
      <a:dk1>
        <a:srgbClr val="000000"/>
      </a:dk1>
      <a:lt1>
        <a:srgbClr val="FFFFFF"/>
      </a:lt1>
      <a:dk2>
        <a:srgbClr val="062C3F"/>
      </a:dk2>
      <a:lt2>
        <a:srgbClr val="F3F3F3"/>
      </a:lt2>
      <a:accent1>
        <a:srgbClr val="0085CA"/>
      </a:accent1>
      <a:accent2>
        <a:srgbClr val="C8DAE2"/>
      </a:accent2>
      <a:accent3>
        <a:srgbClr val="062C3F"/>
      </a:accent3>
      <a:accent4>
        <a:srgbClr val="0085CA"/>
      </a:accent4>
      <a:accent5>
        <a:srgbClr val="C8DAE2"/>
      </a:accent5>
      <a:accent6>
        <a:srgbClr val="F3F3F3"/>
      </a:accent6>
      <a:hlink>
        <a:srgbClr val="0085CA"/>
      </a:hlink>
      <a:folHlink>
        <a:srgbClr val="062C3F"/>
      </a:folHlink>
    </a:clrScheme>
    <a:fontScheme name="Afi">
      <a:majorFont>
        <a:latin typeface="Amasis MT Pro"/>
        <a:ea typeface=""/>
        <a:cs typeface=""/>
      </a:majorFont>
      <a:minorFont>
        <a:latin typeface="Amasis MT Pro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Tema_Afi_2024" id="{6B772454-601F-484F-9B93-12CDB0DD81FE}" vid="{8D9AA64B-FBED-4A4A-BCB4-18FC448ED8E1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V117"/>
  <sheetViews>
    <sheetView showGridLines="0" tabSelected="1" zoomScaleNormal="100" workbookViewId="0"/>
  </sheetViews>
  <sheetFormatPr defaultColWidth="11.36328125" defaultRowHeight="14.5" x14ac:dyDescent="0.35"/>
  <cols>
    <col min="6" max="6" width="11.81640625" customWidth="1"/>
    <col min="9" max="9" width="11.81640625" customWidth="1"/>
    <col min="10" max="10" width="4.6328125" style="6" customWidth="1"/>
    <col min="11" max="11" width="5.08984375" customWidth="1"/>
    <col min="12" max="12" width="20.90625" customWidth="1"/>
    <col min="13" max="19" width="16.1796875" customWidth="1"/>
    <col min="20" max="20" width="24.1796875" customWidth="1"/>
    <col min="21" max="21" width="16.1796875" customWidth="1"/>
    <col min="22" max="22" width="16.1796875" style="6" customWidth="1"/>
    <col min="23" max="23" width="3.6328125" customWidth="1"/>
  </cols>
  <sheetData>
    <row r="2" spans="1:21" x14ac:dyDescent="0.35">
      <c r="L2" s="4" t="s">
        <v>16</v>
      </c>
      <c r="T2" s="12" t="s">
        <v>18</v>
      </c>
    </row>
    <row r="4" spans="1:21" ht="15" thickBot="1" x14ac:dyDescent="0.4"/>
    <row r="5" spans="1:21" ht="15" thickBot="1" x14ac:dyDescent="0.4">
      <c r="R5" s="42" t="s">
        <v>15</v>
      </c>
      <c r="T5" s="42" t="s">
        <v>15</v>
      </c>
    </row>
    <row r="6" spans="1:21" ht="15.5" thickBot="1" x14ac:dyDescent="0.45">
      <c r="B6" s="28" t="s">
        <v>3</v>
      </c>
      <c r="C6" s="29">
        <v>43536</v>
      </c>
      <c r="F6" s="41" t="s">
        <v>5</v>
      </c>
      <c r="G6" s="11">
        <v>0.25</v>
      </c>
      <c r="L6" s="4" t="s">
        <v>11</v>
      </c>
      <c r="R6" s="15"/>
      <c r="T6" s="15"/>
    </row>
    <row r="9" spans="1:21" ht="15.5" thickBot="1" x14ac:dyDescent="0.45">
      <c r="B9" s="30" t="s">
        <v>0</v>
      </c>
      <c r="C9" s="30" t="s">
        <v>1</v>
      </c>
      <c r="D9" s="30" t="s">
        <v>2</v>
      </c>
      <c r="F9" s="30" t="s">
        <v>1</v>
      </c>
      <c r="G9" s="28" t="s">
        <v>4</v>
      </c>
      <c r="H9" s="28" t="s">
        <v>7</v>
      </c>
      <c r="I9" s="28" t="s">
        <v>13</v>
      </c>
      <c r="L9" s="40" t="s">
        <v>6</v>
      </c>
      <c r="M9" s="40" t="s">
        <v>17</v>
      </c>
      <c r="N9" s="40" t="s">
        <v>8</v>
      </c>
      <c r="O9" s="40" t="s">
        <v>9</v>
      </c>
      <c r="P9" s="40" t="s">
        <v>10</v>
      </c>
      <c r="Q9" s="40" t="s">
        <v>12</v>
      </c>
      <c r="R9" s="40" t="s">
        <v>14</v>
      </c>
      <c r="S9" s="40"/>
      <c r="T9" s="40" t="s">
        <v>20</v>
      </c>
      <c r="U9" s="12"/>
    </row>
    <row r="10" spans="1:21" ht="15" x14ac:dyDescent="0.4">
      <c r="A10" s="1"/>
      <c r="B10" s="31">
        <v>43536</v>
      </c>
      <c r="C10" s="32">
        <f>YEARFRAC($B$10,B10)</f>
        <v>0</v>
      </c>
      <c r="D10" s="33">
        <v>1</v>
      </c>
      <c r="F10" s="8">
        <f t="shared" ref="F10:F41" si="0">G10*deltat</f>
        <v>0</v>
      </c>
      <c r="G10" s="8">
        <v>0</v>
      </c>
      <c r="H10" s="9">
        <f>interpola(F10,$C$10:$D$42,1)</f>
        <v>1</v>
      </c>
      <c r="I10" s="9"/>
    </row>
    <row r="11" spans="1:21" ht="15" x14ac:dyDescent="0.4">
      <c r="A11" s="1"/>
      <c r="B11" s="34">
        <v>43543</v>
      </c>
      <c r="C11" s="35">
        <f t="shared" ref="C11:C42" si="1">YEARFRAC($B$10,B11)</f>
        <v>1.9444444444444445E-2</v>
      </c>
      <c r="D11" s="36">
        <v>0.99994000000000005</v>
      </c>
      <c r="F11" s="8">
        <f t="shared" si="0"/>
        <v>0.25</v>
      </c>
      <c r="G11" s="8">
        <v>1</v>
      </c>
      <c r="H11" s="9">
        <f>interpola(F11,$C$10:$D$42,1)</f>
        <v>0.99872000000000005</v>
      </c>
      <c r="I11" s="25">
        <v>0.3</v>
      </c>
      <c r="L11" s="13"/>
      <c r="M11" s="14"/>
      <c r="N11" s="8"/>
      <c r="O11" s="8"/>
      <c r="P11" s="8"/>
      <c r="Q11" s="27"/>
      <c r="R11" s="14"/>
      <c r="T11" s="24"/>
      <c r="U11" s="3"/>
    </row>
    <row r="12" spans="1:21" ht="15" x14ac:dyDescent="0.4">
      <c r="A12" s="1"/>
      <c r="B12" s="34">
        <v>43550</v>
      </c>
      <c r="C12" s="35">
        <f t="shared" si="1"/>
        <v>3.888888888888889E-2</v>
      </c>
      <c r="D12" s="36">
        <v>0.99987999999999999</v>
      </c>
      <c r="F12" s="8">
        <f t="shared" si="0"/>
        <v>0.5</v>
      </c>
      <c r="G12" s="8">
        <v>2</v>
      </c>
      <c r="H12" s="26">
        <f>interpola(F12,$C$10:$D$42,1)</f>
        <v>0.99592999999999998</v>
      </c>
      <c r="I12" s="10">
        <f t="shared" ref="I12:I50" si="2">vola</f>
        <v>0.3</v>
      </c>
      <c r="L12" s="13"/>
      <c r="M12" s="14"/>
      <c r="N12" s="8"/>
      <c r="O12" s="8"/>
      <c r="P12" s="8"/>
      <c r="Q12" s="27"/>
      <c r="R12" s="14"/>
      <c r="T12" s="24"/>
      <c r="U12" s="3"/>
    </row>
    <row r="13" spans="1:21" ht="15" x14ac:dyDescent="0.4">
      <c r="A13" s="1"/>
      <c r="B13" s="34">
        <v>43557</v>
      </c>
      <c r="C13" s="35">
        <f t="shared" si="1"/>
        <v>5.5555555555555552E-2</v>
      </c>
      <c r="D13" s="36">
        <v>0.99980000000000002</v>
      </c>
      <c r="F13" s="8">
        <f t="shared" si="0"/>
        <v>0.75</v>
      </c>
      <c r="G13" s="8">
        <v>3</v>
      </c>
      <c r="H13" s="26">
        <f t="shared" ref="H13:H51" si="3">interpola(F13,$C$10:$D$42,1)</f>
        <v>0.99185999999999996</v>
      </c>
      <c r="I13" s="10">
        <f t="shared" si="2"/>
        <v>0.3</v>
      </c>
      <c r="L13" s="13"/>
      <c r="M13" s="14"/>
      <c r="N13" s="8"/>
      <c r="O13" s="8"/>
      <c r="P13" s="8"/>
      <c r="Q13" s="27"/>
      <c r="R13" s="14"/>
      <c r="T13" s="24"/>
      <c r="U13" s="3"/>
    </row>
    <row r="14" spans="1:21" ht="15" x14ac:dyDescent="0.4">
      <c r="A14" s="1"/>
      <c r="B14" s="34">
        <v>43567</v>
      </c>
      <c r="C14" s="35">
        <f t="shared" si="1"/>
        <v>8.3333333333333329E-2</v>
      </c>
      <c r="D14" s="36">
        <v>0.99970000000000003</v>
      </c>
      <c r="F14" s="8">
        <f t="shared" si="0"/>
        <v>1</v>
      </c>
      <c r="G14" s="8">
        <v>4</v>
      </c>
      <c r="H14" s="26">
        <f t="shared" si="3"/>
        <v>0.98802999999999996</v>
      </c>
      <c r="I14" s="10">
        <f t="shared" si="2"/>
        <v>0.3</v>
      </c>
      <c r="L14" s="13"/>
      <c r="M14" s="14"/>
      <c r="N14" s="8"/>
      <c r="O14" s="8"/>
      <c r="P14" s="8"/>
      <c r="Q14" s="27"/>
      <c r="R14" s="14"/>
      <c r="T14" s="24"/>
      <c r="U14" s="3"/>
    </row>
    <row r="15" spans="1:21" ht="15" x14ac:dyDescent="0.4">
      <c r="A15" s="1"/>
      <c r="B15" s="34">
        <v>43597</v>
      </c>
      <c r="C15" s="35">
        <f t="shared" si="1"/>
        <v>0.16666666666666666</v>
      </c>
      <c r="D15" s="36">
        <v>0.99914999999999998</v>
      </c>
      <c r="F15" s="8">
        <f t="shared" si="0"/>
        <v>1.25</v>
      </c>
      <c r="G15" s="8">
        <v>5</v>
      </c>
      <c r="H15" s="26">
        <f t="shared" si="3"/>
        <v>0.98356749999999993</v>
      </c>
      <c r="I15" s="10">
        <f t="shared" si="2"/>
        <v>0.3</v>
      </c>
      <c r="L15" s="13"/>
      <c r="M15" s="14"/>
      <c r="N15" s="8"/>
      <c r="O15" s="8"/>
      <c r="P15" s="8"/>
      <c r="Q15" s="27"/>
      <c r="R15" s="14"/>
      <c r="T15" s="24"/>
      <c r="U15" s="3"/>
    </row>
    <row r="16" spans="1:21" ht="15" x14ac:dyDescent="0.4">
      <c r="A16" s="1"/>
      <c r="B16" s="34">
        <v>43628</v>
      </c>
      <c r="C16" s="35">
        <f t="shared" si="1"/>
        <v>0.25</v>
      </c>
      <c r="D16" s="36">
        <v>0.99872000000000005</v>
      </c>
      <c r="F16" s="8">
        <f t="shared" si="0"/>
        <v>1.5</v>
      </c>
      <c r="G16" s="8">
        <v>6</v>
      </c>
      <c r="H16" s="26">
        <f t="shared" si="3"/>
        <v>0.979105</v>
      </c>
      <c r="I16" s="10">
        <f t="shared" si="2"/>
        <v>0.3</v>
      </c>
      <c r="L16" s="13"/>
      <c r="M16" s="14"/>
      <c r="N16" s="8"/>
      <c r="O16" s="8"/>
      <c r="P16" s="8"/>
      <c r="Q16" s="27"/>
      <c r="R16" s="14"/>
      <c r="T16" s="24"/>
      <c r="U16" s="3"/>
    </row>
    <row r="17" spans="1:21" ht="15" x14ac:dyDescent="0.4">
      <c r="A17" s="1"/>
      <c r="B17" s="34">
        <v>43658</v>
      </c>
      <c r="C17" s="35">
        <f t="shared" si="1"/>
        <v>0.33333333333333331</v>
      </c>
      <c r="D17" s="36">
        <v>0.99797000000000002</v>
      </c>
      <c r="F17" s="8">
        <f t="shared" si="0"/>
        <v>1.75</v>
      </c>
      <c r="G17" s="8">
        <v>7</v>
      </c>
      <c r="H17" s="26">
        <f t="shared" si="3"/>
        <v>0.97464250000000008</v>
      </c>
      <c r="I17" s="10">
        <f t="shared" si="2"/>
        <v>0.3</v>
      </c>
      <c r="L17" s="13"/>
      <c r="M17" s="14"/>
      <c r="N17" s="8"/>
      <c r="O17" s="8"/>
      <c r="P17" s="8"/>
      <c r="Q17" s="27"/>
      <c r="R17" s="14"/>
      <c r="T17" s="24"/>
      <c r="U17" s="3"/>
    </row>
    <row r="18" spans="1:21" ht="15" x14ac:dyDescent="0.4">
      <c r="A18" s="1"/>
      <c r="B18" s="34">
        <v>43689</v>
      </c>
      <c r="C18" s="35">
        <f t="shared" si="1"/>
        <v>0.41666666666666669</v>
      </c>
      <c r="D18" s="36">
        <v>0.99702999999999997</v>
      </c>
      <c r="F18" s="8">
        <f t="shared" si="0"/>
        <v>2</v>
      </c>
      <c r="G18" s="8">
        <v>8</v>
      </c>
      <c r="H18" s="26">
        <f t="shared" si="3"/>
        <v>0.97018000000000004</v>
      </c>
      <c r="I18" s="10">
        <f t="shared" si="2"/>
        <v>0.3</v>
      </c>
      <c r="L18" s="13"/>
      <c r="M18" s="14"/>
      <c r="N18" s="8"/>
      <c r="O18" s="8"/>
      <c r="P18" s="8"/>
      <c r="Q18" s="27"/>
      <c r="R18" s="14"/>
      <c r="T18" s="24"/>
      <c r="U18" s="3"/>
    </row>
    <row r="19" spans="1:21" ht="15" x14ac:dyDescent="0.4">
      <c r="A19" s="1"/>
      <c r="B19" s="34">
        <v>43720</v>
      </c>
      <c r="C19" s="35">
        <f t="shared" si="1"/>
        <v>0.5</v>
      </c>
      <c r="D19" s="36">
        <v>0.99592999999999998</v>
      </c>
      <c r="F19" s="8">
        <f t="shared" si="0"/>
        <v>2.25</v>
      </c>
      <c r="G19" s="8">
        <v>9</v>
      </c>
      <c r="H19" s="26">
        <f t="shared" si="3"/>
        <v>0.96397250000000001</v>
      </c>
      <c r="I19" s="10">
        <f t="shared" si="2"/>
        <v>0.3</v>
      </c>
      <c r="L19" s="13"/>
      <c r="M19" s="14"/>
      <c r="N19" s="8"/>
      <c r="O19" s="8"/>
      <c r="P19" s="8"/>
      <c r="Q19" s="27"/>
      <c r="R19" s="14"/>
      <c r="T19" s="24"/>
      <c r="U19" s="3"/>
    </row>
    <row r="20" spans="1:21" ht="15" x14ac:dyDescent="0.4">
      <c r="A20" s="1"/>
      <c r="B20" s="34">
        <v>43750</v>
      </c>
      <c r="C20" s="35">
        <f t="shared" si="1"/>
        <v>0.58333333333333337</v>
      </c>
      <c r="D20" s="36">
        <v>0.99468000000000001</v>
      </c>
      <c r="F20" s="8">
        <f t="shared" si="0"/>
        <v>2.5</v>
      </c>
      <c r="G20" s="8">
        <v>10</v>
      </c>
      <c r="H20" s="26">
        <f t="shared" si="3"/>
        <v>0.95776499999999998</v>
      </c>
      <c r="I20" s="10">
        <f t="shared" si="2"/>
        <v>0.3</v>
      </c>
      <c r="L20" s="13"/>
      <c r="M20" s="14"/>
      <c r="N20" s="8"/>
      <c r="O20" s="8"/>
      <c r="P20" s="8"/>
      <c r="Q20" s="27"/>
      <c r="R20" s="14"/>
      <c r="T20" s="24"/>
      <c r="U20" s="3"/>
    </row>
    <row r="21" spans="1:21" ht="15" x14ac:dyDescent="0.4">
      <c r="A21" s="1"/>
      <c r="B21" s="34">
        <v>43781</v>
      </c>
      <c r="C21" s="35">
        <f t="shared" si="1"/>
        <v>0.66666666666666663</v>
      </c>
      <c r="D21" s="36">
        <v>0.99358000000000002</v>
      </c>
      <c r="F21" s="8">
        <f t="shared" si="0"/>
        <v>2.75</v>
      </c>
      <c r="G21" s="8">
        <v>11</v>
      </c>
      <c r="H21" s="26">
        <f t="shared" si="3"/>
        <v>0.95155750000000006</v>
      </c>
      <c r="I21" s="10">
        <f t="shared" si="2"/>
        <v>0.3</v>
      </c>
      <c r="L21" s="13"/>
      <c r="M21" s="14"/>
      <c r="N21" s="8"/>
      <c r="O21" s="8"/>
      <c r="P21" s="8"/>
      <c r="Q21" s="27"/>
      <c r="R21" s="14"/>
      <c r="T21" s="24"/>
      <c r="U21" s="3"/>
    </row>
    <row r="22" spans="1:21" ht="15" x14ac:dyDescent="0.4">
      <c r="A22" s="1"/>
      <c r="B22" s="34">
        <v>43811</v>
      </c>
      <c r="C22" s="35">
        <f t="shared" si="1"/>
        <v>0.75</v>
      </c>
      <c r="D22" s="36">
        <v>0.99185999999999996</v>
      </c>
      <c r="F22" s="8">
        <f t="shared" si="0"/>
        <v>3</v>
      </c>
      <c r="G22" s="8">
        <v>12</v>
      </c>
      <c r="H22" s="26">
        <f t="shared" si="3"/>
        <v>0.94535000000000002</v>
      </c>
      <c r="I22" s="10">
        <f t="shared" si="2"/>
        <v>0.3</v>
      </c>
      <c r="L22" s="13"/>
      <c r="M22" s="14"/>
      <c r="N22" s="8"/>
      <c r="O22" s="8"/>
      <c r="P22" s="8"/>
      <c r="Q22" s="27"/>
      <c r="R22" s="14"/>
      <c r="T22" s="24"/>
      <c r="U22" s="3"/>
    </row>
    <row r="23" spans="1:21" ht="15" x14ac:dyDescent="0.4">
      <c r="A23" s="1"/>
      <c r="B23" s="34">
        <v>43842</v>
      </c>
      <c r="C23" s="35">
        <f t="shared" si="1"/>
        <v>0.83333333333333337</v>
      </c>
      <c r="D23" s="36">
        <v>0.99114999999999998</v>
      </c>
      <c r="F23" s="8">
        <f t="shared" si="0"/>
        <v>3.25</v>
      </c>
      <c r="G23" s="8">
        <v>13</v>
      </c>
      <c r="H23" s="26">
        <f t="shared" si="3"/>
        <v>0.93803250000000005</v>
      </c>
      <c r="I23" s="10">
        <f t="shared" si="2"/>
        <v>0.3</v>
      </c>
      <c r="L23" s="13"/>
      <c r="M23" s="14"/>
      <c r="N23" s="8"/>
      <c r="O23" s="8"/>
      <c r="P23" s="8"/>
      <c r="Q23" s="27"/>
      <c r="R23" s="14"/>
      <c r="T23" s="24"/>
      <c r="U23" s="3"/>
    </row>
    <row r="24" spans="1:21" ht="15" x14ac:dyDescent="0.4">
      <c r="A24" s="1"/>
      <c r="B24" s="34">
        <v>43873</v>
      </c>
      <c r="C24" s="35">
        <f t="shared" si="1"/>
        <v>0.91666666666666663</v>
      </c>
      <c r="D24" s="36">
        <v>0.98980999999999997</v>
      </c>
      <c r="F24" s="8">
        <f t="shared" si="0"/>
        <v>3.5</v>
      </c>
      <c r="G24" s="8">
        <v>14</v>
      </c>
      <c r="H24" s="26">
        <f t="shared" si="3"/>
        <v>0.93071499999999996</v>
      </c>
      <c r="I24" s="10">
        <f t="shared" si="2"/>
        <v>0.3</v>
      </c>
      <c r="L24" s="13"/>
      <c r="M24" s="14"/>
      <c r="N24" s="8"/>
      <c r="O24" s="8"/>
      <c r="P24" s="8"/>
      <c r="Q24" s="27"/>
      <c r="R24" s="14"/>
      <c r="T24" s="24"/>
      <c r="U24" s="3"/>
    </row>
    <row r="25" spans="1:21" ht="15" x14ac:dyDescent="0.4">
      <c r="A25" s="1"/>
      <c r="B25" s="34">
        <v>43902</v>
      </c>
      <c r="C25" s="35">
        <f t="shared" si="1"/>
        <v>1</v>
      </c>
      <c r="D25" s="36">
        <v>0.98802999999999996</v>
      </c>
      <c r="F25" s="8">
        <f t="shared" si="0"/>
        <v>3.75</v>
      </c>
      <c r="G25" s="8">
        <v>15</v>
      </c>
      <c r="H25" s="26">
        <f t="shared" si="3"/>
        <v>0.92339749999999998</v>
      </c>
      <c r="I25" s="10">
        <f t="shared" si="2"/>
        <v>0.3</v>
      </c>
      <c r="L25" s="13"/>
      <c r="M25" s="14"/>
      <c r="N25" s="8"/>
      <c r="O25" s="8"/>
      <c r="P25" s="8"/>
      <c r="Q25" s="27"/>
      <c r="R25" s="14"/>
      <c r="T25" s="24"/>
      <c r="U25" s="3"/>
    </row>
    <row r="26" spans="1:21" ht="15" x14ac:dyDescent="0.4">
      <c r="A26" s="1"/>
      <c r="B26" s="34">
        <v>44267</v>
      </c>
      <c r="C26" s="35">
        <f t="shared" si="1"/>
        <v>2</v>
      </c>
      <c r="D26" s="36">
        <v>0.97018000000000004</v>
      </c>
      <c r="F26" s="8">
        <f t="shared" si="0"/>
        <v>4</v>
      </c>
      <c r="G26" s="8">
        <v>16</v>
      </c>
      <c r="H26" s="26">
        <f t="shared" si="3"/>
        <v>0.91608000000000001</v>
      </c>
      <c r="I26" s="10">
        <f t="shared" si="2"/>
        <v>0.3</v>
      </c>
      <c r="L26" s="13"/>
      <c r="M26" s="14"/>
      <c r="N26" s="8"/>
      <c r="O26" s="8"/>
      <c r="P26" s="8"/>
      <c r="Q26" s="27"/>
      <c r="R26" s="14"/>
      <c r="T26" s="24"/>
      <c r="U26" s="3"/>
    </row>
    <row r="27" spans="1:21" ht="15" x14ac:dyDescent="0.4">
      <c r="A27" s="1"/>
      <c r="B27" s="34">
        <v>44632</v>
      </c>
      <c r="C27" s="35">
        <f t="shared" si="1"/>
        <v>3</v>
      </c>
      <c r="D27" s="36">
        <v>0.94535000000000002</v>
      </c>
      <c r="F27" s="8">
        <f t="shared" si="0"/>
        <v>4.25</v>
      </c>
      <c r="G27" s="8">
        <v>17</v>
      </c>
      <c r="H27" s="26">
        <f t="shared" si="3"/>
        <v>0.90797749999999999</v>
      </c>
      <c r="I27" s="10">
        <f t="shared" si="2"/>
        <v>0.3</v>
      </c>
      <c r="L27" s="13"/>
      <c r="M27" s="14"/>
      <c r="N27" s="8"/>
      <c r="O27" s="8"/>
      <c r="P27" s="8"/>
      <c r="Q27" s="27"/>
      <c r="R27" s="14"/>
      <c r="T27" s="24"/>
      <c r="U27" s="3"/>
    </row>
    <row r="28" spans="1:21" ht="15" x14ac:dyDescent="0.4">
      <c r="A28" s="1"/>
      <c r="B28" s="34">
        <v>44997</v>
      </c>
      <c r="C28" s="35">
        <f t="shared" si="1"/>
        <v>4</v>
      </c>
      <c r="D28" s="36">
        <v>0.91608000000000001</v>
      </c>
      <c r="F28" s="8">
        <f t="shared" si="0"/>
        <v>4.5</v>
      </c>
      <c r="G28" s="8">
        <v>18</v>
      </c>
      <c r="H28" s="26">
        <f t="shared" si="3"/>
        <v>0.89987499999999998</v>
      </c>
      <c r="I28" s="10">
        <f t="shared" si="2"/>
        <v>0.3</v>
      </c>
      <c r="L28" s="13"/>
      <c r="M28" s="14"/>
      <c r="N28" s="8"/>
      <c r="O28" s="8"/>
      <c r="P28" s="8"/>
      <c r="Q28" s="27"/>
      <c r="R28" s="14"/>
      <c r="T28" s="24"/>
      <c r="U28" s="3"/>
    </row>
    <row r="29" spans="1:21" ht="15" x14ac:dyDescent="0.4">
      <c r="A29" s="1"/>
      <c r="B29" s="34">
        <v>45363</v>
      </c>
      <c r="C29" s="35">
        <f t="shared" si="1"/>
        <v>5</v>
      </c>
      <c r="D29" s="36">
        <v>0.88366999999999996</v>
      </c>
      <c r="F29" s="8">
        <f t="shared" si="0"/>
        <v>4.75</v>
      </c>
      <c r="G29" s="8">
        <v>19</v>
      </c>
      <c r="H29" s="26">
        <f t="shared" si="3"/>
        <v>0.89177249999999997</v>
      </c>
      <c r="I29" s="10">
        <f t="shared" si="2"/>
        <v>0.3</v>
      </c>
      <c r="L29" s="13"/>
      <c r="M29" s="14"/>
      <c r="N29" s="8"/>
      <c r="O29" s="8"/>
      <c r="P29" s="8"/>
      <c r="Q29" s="27"/>
      <c r="R29" s="14"/>
      <c r="T29" s="24"/>
      <c r="U29" s="3"/>
    </row>
    <row r="30" spans="1:21" ht="15" x14ac:dyDescent="0.4">
      <c r="A30" s="1"/>
      <c r="B30" s="34">
        <v>45728</v>
      </c>
      <c r="C30" s="35">
        <f t="shared" si="1"/>
        <v>6</v>
      </c>
      <c r="D30" s="36">
        <v>0.84907999999999995</v>
      </c>
      <c r="F30" s="8">
        <f t="shared" si="0"/>
        <v>5</v>
      </c>
      <c r="G30" s="8">
        <v>20</v>
      </c>
      <c r="H30" s="26">
        <f t="shared" si="3"/>
        <v>0.88366999999999996</v>
      </c>
      <c r="I30" s="10">
        <f t="shared" si="2"/>
        <v>0.3</v>
      </c>
      <c r="L30" s="13"/>
      <c r="M30" s="14"/>
      <c r="N30" s="8"/>
      <c r="O30" s="8"/>
      <c r="P30" s="8"/>
      <c r="Q30" s="27"/>
      <c r="R30" s="14"/>
      <c r="T30" s="24"/>
      <c r="U30" s="3"/>
    </row>
    <row r="31" spans="1:21" ht="15" x14ac:dyDescent="0.4">
      <c r="A31" s="1"/>
      <c r="B31" s="34">
        <v>46093</v>
      </c>
      <c r="C31" s="35">
        <f t="shared" si="1"/>
        <v>7</v>
      </c>
      <c r="D31" s="36">
        <v>0.81384999999999996</v>
      </c>
      <c r="F31" s="8">
        <f t="shared" si="0"/>
        <v>5.25</v>
      </c>
      <c r="G31" s="8">
        <v>21</v>
      </c>
      <c r="H31" s="26">
        <f t="shared" si="3"/>
        <v>0.87502249999999993</v>
      </c>
      <c r="I31" s="10">
        <f t="shared" si="2"/>
        <v>0.3</v>
      </c>
      <c r="L31" s="13"/>
      <c r="M31" s="14"/>
      <c r="N31" s="8"/>
      <c r="O31" s="8"/>
      <c r="P31" s="8"/>
      <c r="Q31" s="27"/>
      <c r="R31" s="14"/>
      <c r="T31" s="24"/>
      <c r="U31" s="3"/>
    </row>
    <row r="32" spans="1:21" ht="15" x14ac:dyDescent="0.4">
      <c r="A32" s="1"/>
      <c r="B32" s="34">
        <v>46458</v>
      </c>
      <c r="C32" s="35">
        <f t="shared" si="1"/>
        <v>8</v>
      </c>
      <c r="D32" s="36">
        <v>0.77878000000000003</v>
      </c>
      <c r="F32" s="8">
        <f t="shared" si="0"/>
        <v>5.5</v>
      </c>
      <c r="G32" s="8">
        <v>22</v>
      </c>
      <c r="H32" s="26">
        <f t="shared" si="3"/>
        <v>0.8663749999999999</v>
      </c>
      <c r="I32" s="10">
        <f t="shared" si="2"/>
        <v>0.3</v>
      </c>
      <c r="L32" s="13"/>
      <c r="M32" s="14"/>
      <c r="N32" s="8"/>
      <c r="O32" s="8"/>
      <c r="P32" s="8"/>
      <c r="Q32" s="27"/>
      <c r="R32" s="14"/>
      <c r="T32" s="24"/>
      <c r="U32" s="3"/>
    </row>
    <row r="33" spans="1:21" ht="15" x14ac:dyDescent="0.4">
      <c r="A33" s="1"/>
      <c r="B33" s="34">
        <v>46824</v>
      </c>
      <c r="C33" s="35">
        <f t="shared" si="1"/>
        <v>9</v>
      </c>
      <c r="D33" s="36">
        <v>0.74453000000000003</v>
      </c>
      <c r="F33" s="8">
        <f t="shared" si="0"/>
        <v>5.75</v>
      </c>
      <c r="G33" s="8">
        <v>23</v>
      </c>
      <c r="H33" s="26">
        <f t="shared" si="3"/>
        <v>0.85772749999999998</v>
      </c>
      <c r="I33" s="10">
        <f t="shared" si="2"/>
        <v>0.3</v>
      </c>
      <c r="L33" s="13"/>
      <c r="M33" s="14"/>
      <c r="N33" s="8"/>
      <c r="O33" s="8"/>
      <c r="P33" s="8"/>
      <c r="Q33" s="27"/>
      <c r="R33" s="14"/>
      <c r="T33" s="24"/>
      <c r="U33" s="3"/>
    </row>
    <row r="34" spans="1:21" ht="15" x14ac:dyDescent="0.4">
      <c r="A34" s="1"/>
      <c r="B34" s="34">
        <v>47189</v>
      </c>
      <c r="C34" s="35">
        <f t="shared" si="1"/>
        <v>10</v>
      </c>
      <c r="D34" s="36">
        <v>0.71101999999999999</v>
      </c>
      <c r="F34" s="8">
        <f t="shared" si="0"/>
        <v>6</v>
      </c>
      <c r="G34" s="8">
        <v>24</v>
      </c>
      <c r="H34" s="26">
        <f t="shared" si="3"/>
        <v>0.84907999999999995</v>
      </c>
      <c r="I34" s="10">
        <f t="shared" si="2"/>
        <v>0.3</v>
      </c>
      <c r="L34" s="13"/>
      <c r="M34" s="14"/>
      <c r="N34" s="8"/>
      <c r="O34" s="8"/>
      <c r="P34" s="8"/>
      <c r="Q34" s="27"/>
      <c r="R34" s="14"/>
      <c r="T34" s="24"/>
      <c r="U34" s="3"/>
    </row>
    <row r="35" spans="1:21" ht="15" x14ac:dyDescent="0.4">
      <c r="A35" s="1"/>
      <c r="B35" s="34">
        <v>49015</v>
      </c>
      <c r="C35" s="35">
        <f t="shared" si="1"/>
        <v>15</v>
      </c>
      <c r="D35" s="36">
        <v>0.56115000000000004</v>
      </c>
      <c r="F35" s="8">
        <f t="shared" si="0"/>
        <v>6.25</v>
      </c>
      <c r="G35" s="8">
        <v>25</v>
      </c>
      <c r="H35" s="26">
        <f t="shared" si="3"/>
        <v>0.84027249999999998</v>
      </c>
      <c r="I35" s="10">
        <f t="shared" si="2"/>
        <v>0.3</v>
      </c>
      <c r="L35" s="13"/>
      <c r="M35" s="14"/>
      <c r="N35" s="8"/>
      <c r="O35" s="8"/>
      <c r="P35" s="8"/>
      <c r="Q35" s="27"/>
      <c r="R35" s="14"/>
      <c r="T35" s="24"/>
      <c r="U35" s="3"/>
    </row>
    <row r="36" spans="1:21" ht="15" x14ac:dyDescent="0.4">
      <c r="A36" s="1"/>
      <c r="B36" s="34">
        <v>50841</v>
      </c>
      <c r="C36" s="35">
        <f t="shared" si="1"/>
        <v>20</v>
      </c>
      <c r="D36" s="36">
        <v>0.44996000000000003</v>
      </c>
      <c r="F36" s="8">
        <f t="shared" si="0"/>
        <v>6.5</v>
      </c>
      <c r="G36" s="8">
        <v>26</v>
      </c>
      <c r="H36" s="26">
        <f t="shared" si="3"/>
        <v>0.8314649999999999</v>
      </c>
      <c r="I36" s="10">
        <f t="shared" si="2"/>
        <v>0.3</v>
      </c>
      <c r="L36" s="13"/>
      <c r="M36" s="14"/>
      <c r="N36" s="8"/>
      <c r="O36" s="8"/>
      <c r="P36" s="8"/>
      <c r="Q36" s="27"/>
      <c r="R36" s="14"/>
      <c r="T36" s="24"/>
      <c r="U36" s="3"/>
    </row>
    <row r="37" spans="1:21" ht="15" x14ac:dyDescent="0.4">
      <c r="A37" s="1"/>
      <c r="B37" s="34">
        <v>52668</v>
      </c>
      <c r="C37" s="35">
        <f t="shared" si="1"/>
        <v>25</v>
      </c>
      <c r="D37" s="36">
        <v>0.37497000000000003</v>
      </c>
      <c r="F37" s="8">
        <f t="shared" si="0"/>
        <v>6.75</v>
      </c>
      <c r="G37" s="8">
        <v>27</v>
      </c>
      <c r="H37" s="26">
        <f t="shared" si="3"/>
        <v>0.82265749999999993</v>
      </c>
      <c r="I37" s="10">
        <f t="shared" si="2"/>
        <v>0.3</v>
      </c>
      <c r="L37" s="13"/>
      <c r="M37" s="14"/>
      <c r="N37" s="8"/>
      <c r="O37" s="8"/>
      <c r="P37" s="8"/>
      <c r="Q37" s="27"/>
      <c r="R37" s="14"/>
      <c r="T37" s="24"/>
      <c r="U37" s="3"/>
    </row>
    <row r="38" spans="1:21" ht="15" x14ac:dyDescent="0.4">
      <c r="A38" s="1"/>
      <c r="B38" s="34">
        <v>54494</v>
      </c>
      <c r="C38" s="35">
        <f t="shared" si="1"/>
        <v>30</v>
      </c>
      <c r="D38" s="36">
        <v>0.32142999999999999</v>
      </c>
      <c r="F38" s="8">
        <f t="shared" si="0"/>
        <v>7</v>
      </c>
      <c r="G38" s="8">
        <v>28</v>
      </c>
      <c r="H38" s="26">
        <f t="shared" si="3"/>
        <v>0.81384999999999996</v>
      </c>
      <c r="I38" s="10">
        <f t="shared" si="2"/>
        <v>0.3</v>
      </c>
      <c r="L38" s="13"/>
      <c r="M38" s="14"/>
      <c r="N38" s="8"/>
      <c r="O38" s="8"/>
      <c r="P38" s="8"/>
      <c r="Q38" s="27"/>
      <c r="R38" s="14"/>
      <c r="T38" s="24"/>
      <c r="U38" s="3"/>
    </row>
    <row r="39" spans="1:21" ht="15" x14ac:dyDescent="0.4">
      <c r="A39" s="1"/>
      <c r="B39" s="34">
        <v>56320</v>
      </c>
      <c r="C39" s="35">
        <f t="shared" si="1"/>
        <v>35</v>
      </c>
      <c r="D39" s="36">
        <v>0.27862999999999999</v>
      </c>
      <c r="F39" s="8">
        <f t="shared" si="0"/>
        <v>7.25</v>
      </c>
      <c r="G39" s="8">
        <v>29</v>
      </c>
      <c r="H39" s="26">
        <f t="shared" si="3"/>
        <v>0.80508249999999992</v>
      </c>
      <c r="I39" s="10">
        <f t="shared" si="2"/>
        <v>0.3</v>
      </c>
      <c r="L39" s="13"/>
      <c r="M39" s="14"/>
      <c r="N39" s="8"/>
      <c r="O39" s="8"/>
      <c r="P39" s="8"/>
      <c r="Q39" s="27"/>
      <c r="R39" s="14"/>
      <c r="T39" s="24"/>
      <c r="U39" s="3"/>
    </row>
    <row r="40" spans="1:21" ht="15" x14ac:dyDescent="0.4">
      <c r="A40" s="1"/>
      <c r="B40" s="34">
        <v>58146</v>
      </c>
      <c r="C40" s="35">
        <f t="shared" si="1"/>
        <v>40</v>
      </c>
      <c r="D40" s="36">
        <v>0.24243000000000001</v>
      </c>
      <c r="F40" s="8">
        <f t="shared" si="0"/>
        <v>7.5</v>
      </c>
      <c r="G40" s="8">
        <v>30</v>
      </c>
      <c r="H40" s="26">
        <f t="shared" si="3"/>
        <v>0.796315</v>
      </c>
      <c r="I40" s="10">
        <f t="shared" si="2"/>
        <v>0.3</v>
      </c>
      <c r="L40" s="13"/>
      <c r="M40" s="14"/>
      <c r="N40" s="8"/>
      <c r="O40" s="8"/>
      <c r="P40" s="8"/>
      <c r="Q40" s="27"/>
      <c r="R40" s="14"/>
      <c r="T40" s="24"/>
      <c r="U40" s="3"/>
    </row>
    <row r="41" spans="1:21" ht="15" x14ac:dyDescent="0.4">
      <c r="A41" s="1"/>
      <c r="B41" s="34">
        <v>59973</v>
      </c>
      <c r="C41" s="35">
        <f t="shared" si="1"/>
        <v>45</v>
      </c>
      <c r="D41" s="36">
        <v>0.20755000000000001</v>
      </c>
      <c r="F41" s="8">
        <f t="shared" si="0"/>
        <v>7.75</v>
      </c>
      <c r="G41" s="8">
        <v>31</v>
      </c>
      <c r="H41" s="26">
        <f t="shared" si="3"/>
        <v>0.78754750000000007</v>
      </c>
      <c r="I41" s="10">
        <f t="shared" si="2"/>
        <v>0.3</v>
      </c>
      <c r="L41" s="13"/>
      <c r="M41" s="14"/>
      <c r="N41" s="8"/>
      <c r="O41" s="8"/>
      <c r="P41" s="8"/>
      <c r="Q41" s="27"/>
      <c r="R41" s="14"/>
      <c r="T41" s="24"/>
      <c r="U41" s="3"/>
    </row>
    <row r="42" spans="1:21" ht="15.5" thickBot="1" x14ac:dyDescent="0.45">
      <c r="A42" s="1"/>
      <c r="B42" s="37">
        <v>61799</v>
      </c>
      <c r="C42" s="38">
        <f t="shared" si="1"/>
        <v>50</v>
      </c>
      <c r="D42" s="39">
        <v>0.17824999999999999</v>
      </c>
      <c r="F42" s="8">
        <f t="shared" ref="F42:F73" si="4">G42*deltat</f>
        <v>8</v>
      </c>
      <c r="G42" s="8">
        <v>32</v>
      </c>
      <c r="H42" s="26">
        <f t="shared" si="3"/>
        <v>0.77878000000000003</v>
      </c>
      <c r="I42" s="10">
        <f t="shared" si="2"/>
        <v>0.3</v>
      </c>
      <c r="L42" s="13"/>
      <c r="M42" s="14"/>
      <c r="N42" s="8"/>
      <c r="O42" s="8"/>
      <c r="P42" s="8"/>
      <c r="Q42" s="27"/>
      <c r="R42" s="14"/>
      <c r="T42" s="24"/>
      <c r="U42" s="3"/>
    </row>
    <row r="43" spans="1:21" x14ac:dyDescent="0.35">
      <c r="F43" s="8">
        <f t="shared" si="4"/>
        <v>8.25</v>
      </c>
      <c r="G43" s="8">
        <v>33</v>
      </c>
      <c r="H43" s="26">
        <f t="shared" si="3"/>
        <v>0.7702175</v>
      </c>
      <c r="I43" s="10">
        <f t="shared" si="2"/>
        <v>0.3</v>
      </c>
      <c r="L43" s="13"/>
      <c r="M43" s="14"/>
      <c r="N43" s="8"/>
      <c r="O43" s="8"/>
      <c r="P43" s="8"/>
      <c r="Q43" s="27"/>
      <c r="R43" s="14"/>
      <c r="T43" s="24"/>
      <c r="U43" s="3"/>
    </row>
    <row r="44" spans="1:21" x14ac:dyDescent="0.35">
      <c r="F44" s="8">
        <f t="shared" si="4"/>
        <v>8.5</v>
      </c>
      <c r="G44" s="8">
        <v>34</v>
      </c>
      <c r="H44" s="26">
        <f t="shared" si="3"/>
        <v>0.76165499999999997</v>
      </c>
      <c r="I44" s="10">
        <f t="shared" si="2"/>
        <v>0.3</v>
      </c>
      <c r="L44" s="13"/>
      <c r="M44" s="14"/>
      <c r="N44" s="8"/>
      <c r="O44" s="8"/>
      <c r="P44" s="8"/>
      <c r="Q44" s="27"/>
      <c r="R44" s="14"/>
      <c r="T44" s="24"/>
      <c r="U44" s="3"/>
    </row>
    <row r="45" spans="1:21" x14ac:dyDescent="0.35">
      <c r="F45" s="8">
        <f t="shared" si="4"/>
        <v>8.75</v>
      </c>
      <c r="G45" s="8">
        <v>35</v>
      </c>
      <c r="H45" s="26">
        <f t="shared" si="3"/>
        <v>0.75309250000000005</v>
      </c>
      <c r="I45" s="10">
        <f t="shared" si="2"/>
        <v>0.3</v>
      </c>
      <c r="L45" s="13"/>
      <c r="M45" s="14"/>
      <c r="N45" s="8"/>
      <c r="O45" s="8"/>
      <c r="P45" s="8"/>
      <c r="Q45" s="27"/>
      <c r="R45" s="14"/>
      <c r="T45" s="24"/>
      <c r="U45" s="3"/>
    </row>
    <row r="46" spans="1:21" x14ac:dyDescent="0.35">
      <c r="F46" s="8">
        <f t="shared" si="4"/>
        <v>9</v>
      </c>
      <c r="G46" s="8">
        <v>36</v>
      </c>
      <c r="H46" s="26">
        <f t="shared" si="3"/>
        <v>0.74453000000000003</v>
      </c>
      <c r="I46" s="10">
        <f t="shared" si="2"/>
        <v>0.3</v>
      </c>
      <c r="L46" s="13"/>
      <c r="M46" s="14"/>
      <c r="N46" s="8"/>
      <c r="O46" s="8"/>
      <c r="P46" s="8"/>
      <c r="Q46" s="27"/>
      <c r="R46" s="14"/>
      <c r="T46" s="24"/>
      <c r="U46" s="3"/>
    </row>
    <row r="47" spans="1:21" x14ac:dyDescent="0.35">
      <c r="F47" s="8">
        <f t="shared" si="4"/>
        <v>9.25</v>
      </c>
      <c r="G47" s="8">
        <v>37</v>
      </c>
      <c r="H47" s="26">
        <f t="shared" si="3"/>
        <v>0.73615249999999999</v>
      </c>
      <c r="I47" s="10">
        <f t="shared" si="2"/>
        <v>0.3</v>
      </c>
      <c r="L47" s="13"/>
      <c r="M47" s="14"/>
      <c r="N47" s="8"/>
      <c r="O47" s="8"/>
      <c r="P47" s="8"/>
      <c r="Q47" s="27"/>
      <c r="R47" s="14"/>
      <c r="T47" s="24"/>
      <c r="U47" s="3"/>
    </row>
    <row r="48" spans="1:21" x14ac:dyDescent="0.35">
      <c r="F48" s="8">
        <f t="shared" si="4"/>
        <v>9.5</v>
      </c>
      <c r="G48" s="8">
        <v>38</v>
      </c>
      <c r="H48" s="26">
        <f t="shared" si="3"/>
        <v>0.72777500000000006</v>
      </c>
      <c r="I48" s="10">
        <f t="shared" si="2"/>
        <v>0.3</v>
      </c>
      <c r="L48" s="13"/>
      <c r="M48" s="14"/>
      <c r="N48" s="8"/>
      <c r="O48" s="8"/>
      <c r="P48" s="8"/>
      <c r="Q48" s="27"/>
      <c r="R48" s="14"/>
      <c r="T48" s="24"/>
      <c r="U48" s="3"/>
    </row>
    <row r="49" spans="6:21" x14ac:dyDescent="0.35">
      <c r="F49" s="8">
        <f t="shared" si="4"/>
        <v>9.75</v>
      </c>
      <c r="G49" s="8">
        <v>39</v>
      </c>
      <c r="H49" s="26">
        <f t="shared" si="3"/>
        <v>0.71939750000000002</v>
      </c>
      <c r="I49" s="10">
        <f t="shared" si="2"/>
        <v>0.3</v>
      </c>
      <c r="L49" s="13"/>
      <c r="M49" s="14"/>
      <c r="N49" s="8"/>
      <c r="O49" s="8"/>
      <c r="P49" s="8"/>
      <c r="Q49" s="27"/>
      <c r="R49" s="14"/>
      <c r="T49" s="24"/>
      <c r="U49" s="3"/>
    </row>
    <row r="50" spans="6:21" x14ac:dyDescent="0.35">
      <c r="F50" s="8">
        <f t="shared" si="4"/>
        <v>10</v>
      </c>
      <c r="G50" s="8">
        <v>40</v>
      </c>
      <c r="H50" s="26">
        <f t="shared" si="3"/>
        <v>0.71101999999999999</v>
      </c>
      <c r="I50" s="10">
        <f t="shared" si="2"/>
        <v>0.3</v>
      </c>
      <c r="L50" s="13"/>
      <c r="M50" s="14"/>
      <c r="N50" s="2"/>
      <c r="R50" s="14"/>
      <c r="T50" s="5"/>
      <c r="U50" s="3"/>
    </row>
    <row r="51" spans="6:21" x14ac:dyDescent="0.35">
      <c r="F51" s="8">
        <f t="shared" si="4"/>
        <v>10.25</v>
      </c>
      <c r="G51" s="8">
        <v>41</v>
      </c>
      <c r="H51" s="26">
        <f t="shared" si="3"/>
        <v>0.70352649999999994</v>
      </c>
      <c r="I51" s="9"/>
      <c r="J51" s="7"/>
    </row>
    <row r="52" spans="6:21" x14ac:dyDescent="0.35">
      <c r="F52" s="8">
        <f t="shared" si="4"/>
        <v>10.5</v>
      </c>
      <c r="G52" s="8">
        <v>42</v>
      </c>
      <c r="H52" s="9">
        <f>interpola(F52,$C$10:$D$42,1)</f>
        <v>0.69603300000000001</v>
      </c>
      <c r="I52" s="9"/>
      <c r="J52" s="7"/>
    </row>
    <row r="53" spans="6:21" x14ac:dyDescent="0.35">
      <c r="F53" s="8">
        <f t="shared" si="4"/>
        <v>10.75</v>
      </c>
      <c r="G53" s="8">
        <v>43</v>
      </c>
      <c r="H53" s="9">
        <f t="shared" ref="H53:H91" si="5">interpola(F53,$C$10:$D$42,1)</f>
        <v>0.68853949999999997</v>
      </c>
      <c r="I53" s="9"/>
      <c r="J53" s="7"/>
    </row>
    <row r="54" spans="6:21" x14ac:dyDescent="0.35">
      <c r="F54" s="8">
        <f t="shared" si="4"/>
        <v>11</v>
      </c>
      <c r="G54" s="8">
        <v>44</v>
      </c>
      <c r="H54" s="9">
        <f t="shared" si="5"/>
        <v>0.68104600000000004</v>
      </c>
      <c r="I54" s="9"/>
      <c r="J54" s="7"/>
      <c r="M54" s="4" t="s">
        <v>19</v>
      </c>
    </row>
    <row r="55" spans="6:21" x14ac:dyDescent="0.35">
      <c r="F55" s="8">
        <f t="shared" si="4"/>
        <v>11.25</v>
      </c>
      <c r="G55" s="8">
        <v>45</v>
      </c>
      <c r="H55" s="9">
        <f t="shared" si="5"/>
        <v>0.6735525</v>
      </c>
      <c r="I55" s="9"/>
      <c r="J55" s="7"/>
    </row>
    <row r="56" spans="6:21" ht="15" thickBot="1" x14ac:dyDescent="0.4">
      <c r="F56" s="8">
        <f t="shared" si="4"/>
        <v>11.5</v>
      </c>
      <c r="G56" s="8">
        <v>46</v>
      </c>
      <c r="H56" s="9">
        <f t="shared" si="5"/>
        <v>0.66605899999999996</v>
      </c>
      <c r="I56" s="9"/>
      <c r="J56" s="7"/>
      <c r="N56" s="16">
        <f>R6</f>
        <v>0</v>
      </c>
      <c r="O56" s="16">
        <f>T6</f>
        <v>0</v>
      </c>
    </row>
    <row r="57" spans="6:21" x14ac:dyDescent="0.35">
      <c r="F57" s="8">
        <f t="shared" si="4"/>
        <v>11.75</v>
      </c>
      <c r="G57" s="8">
        <v>47</v>
      </c>
      <c r="H57" s="9">
        <f t="shared" si="5"/>
        <v>0.65856550000000003</v>
      </c>
      <c r="I57" s="9"/>
      <c r="J57" s="7"/>
      <c r="M57" s="17">
        <v>0</v>
      </c>
      <c r="N57" s="18"/>
      <c r="O57" s="19"/>
    </row>
    <row r="58" spans="6:21" x14ac:dyDescent="0.35">
      <c r="F58" s="8">
        <f t="shared" si="4"/>
        <v>12</v>
      </c>
      <c r="G58" s="8">
        <v>48</v>
      </c>
      <c r="H58" s="9">
        <f t="shared" si="5"/>
        <v>0.65107199999999998</v>
      </c>
      <c r="I58" s="9"/>
      <c r="J58" s="7"/>
      <c r="M58" s="17">
        <v>0.01</v>
      </c>
      <c r="N58" s="20"/>
      <c r="O58" s="21"/>
    </row>
    <row r="59" spans="6:21" x14ac:dyDescent="0.35">
      <c r="F59" s="8">
        <f t="shared" si="4"/>
        <v>12.25</v>
      </c>
      <c r="G59" s="8">
        <v>49</v>
      </c>
      <c r="H59" s="9">
        <f t="shared" si="5"/>
        <v>0.64357850000000005</v>
      </c>
      <c r="I59" s="9"/>
      <c r="J59" s="7"/>
      <c r="M59" s="17">
        <v>0.02</v>
      </c>
      <c r="N59" s="20"/>
      <c r="O59" s="21"/>
    </row>
    <row r="60" spans="6:21" x14ac:dyDescent="0.35">
      <c r="F60" s="8">
        <f t="shared" si="4"/>
        <v>12.5</v>
      </c>
      <c r="G60" s="8">
        <v>50</v>
      </c>
      <c r="H60" s="9">
        <f t="shared" si="5"/>
        <v>0.63608500000000001</v>
      </c>
      <c r="I60" s="9"/>
      <c r="J60" s="7"/>
      <c r="M60" s="17">
        <v>0.03</v>
      </c>
      <c r="N60" s="20"/>
      <c r="O60" s="21"/>
    </row>
    <row r="61" spans="6:21" x14ac:dyDescent="0.35">
      <c r="F61" s="8">
        <f t="shared" si="4"/>
        <v>12.75</v>
      </c>
      <c r="G61" s="8">
        <v>51</v>
      </c>
      <c r="H61" s="9">
        <f t="shared" si="5"/>
        <v>0.62859149999999997</v>
      </c>
      <c r="I61" s="9"/>
      <c r="J61" s="7"/>
      <c r="M61" s="17">
        <v>0.04</v>
      </c>
      <c r="N61" s="20"/>
      <c r="O61" s="21"/>
    </row>
    <row r="62" spans="6:21" x14ac:dyDescent="0.35">
      <c r="F62" s="8">
        <f t="shared" si="4"/>
        <v>13</v>
      </c>
      <c r="G62" s="8">
        <v>52</v>
      </c>
      <c r="H62" s="9">
        <f t="shared" si="5"/>
        <v>0.62109800000000004</v>
      </c>
      <c r="I62" s="9"/>
      <c r="J62" s="7"/>
      <c r="M62" s="17">
        <v>0.05</v>
      </c>
      <c r="N62" s="20"/>
      <c r="O62" s="21"/>
    </row>
    <row r="63" spans="6:21" x14ac:dyDescent="0.35">
      <c r="F63" s="8">
        <f t="shared" si="4"/>
        <v>13.25</v>
      </c>
      <c r="G63" s="8">
        <v>53</v>
      </c>
      <c r="H63" s="9">
        <f t="shared" si="5"/>
        <v>0.6136045</v>
      </c>
      <c r="I63" s="9"/>
      <c r="J63" s="7"/>
      <c r="M63" s="17">
        <v>0.06</v>
      </c>
      <c r="N63" s="20"/>
      <c r="O63" s="21"/>
    </row>
    <row r="64" spans="6:21" x14ac:dyDescent="0.35">
      <c r="F64" s="8">
        <f t="shared" si="4"/>
        <v>13.5</v>
      </c>
      <c r="G64" s="8">
        <v>54</v>
      </c>
      <c r="H64" s="9">
        <f t="shared" si="5"/>
        <v>0.60611100000000007</v>
      </c>
      <c r="I64" s="9"/>
      <c r="J64" s="7"/>
      <c r="M64" s="17">
        <v>7.0000000000000007E-2</v>
      </c>
      <c r="N64" s="20"/>
      <c r="O64" s="21"/>
    </row>
    <row r="65" spans="6:15" x14ac:dyDescent="0.35">
      <c r="F65" s="8">
        <f t="shared" si="4"/>
        <v>13.75</v>
      </c>
      <c r="G65" s="8">
        <v>55</v>
      </c>
      <c r="H65" s="9">
        <f t="shared" si="5"/>
        <v>0.59861750000000002</v>
      </c>
      <c r="I65" s="9"/>
      <c r="J65" s="7"/>
      <c r="M65" s="17">
        <v>0.08</v>
      </c>
      <c r="N65" s="20"/>
      <c r="O65" s="21"/>
    </row>
    <row r="66" spans="6:15" x14ac:dyDescent="0.35">
      <c r="F66" s="8">
        <f t="shared" si="4"/>
        <v>14</v>
      </c>
      <c r="G66" s="8">
        <v>56</v>
      </c>
      <c r="H66" s="9">
        <f t="shared" si="5"/>
        <v>0.59112399999999998</v>
      </c>
      <c r="I66" s="9"/>
      <c r="J66" s="7"/>
      <c r="M66" s="17">
        <v>0.09</v>
      </c>
      <c r="N66" s="20"/>
      <c r="O66" s="21"/>
    </row>
    <row r="67" spans="6:15" x14ac:dyDescent="0.35">
      <c r="F67" s="8">
        <f t="shared" si="4"/>
        <v>14.25</v>
      </c>
      <c r="G67" s="8">
        <v>57</v>
      </c>
      <c r="H67" s="9">
        <f t="shared" si="5"/>
        <v>0.58363050000000005</v>
      </c>
      <c r="I67" s="9"/>
      <c r="J67" s="7"/>
      <c r="M67" s="17">
        <v>0.1</v>
      </c>
      <c r="N67" s="20"/>
      <c r="O67" s="21"/>
    </row>
    <row r="68" spans="6:15" x14ac:dyDescent="0.35">
      <c r="F68" s="8">
        <f t="shared" si="4"/>
        <v>14.5</v>
      </c>
      <c r="G68" s="8">
        <v>58</v>
      </c>
      <c r="H68" s="9">
        <f t="shared" si="5"/>
        <v>0.57613700000000001</v>
      </c>
      <c r="I68" s="9"/>
      <c r="J68" s="7"/>
      <c r="M68" s="17">
        <v>0.11</v>
      </c>
      <c r="N68" s="20"/>
      <c r="O68" s="21"/>
    </row>
    <row r="69" spans="6:15" x14ac:dyDescent="0.35">
      <c r="F69" s="8">
        <f t="shared" si="4"/>
        <v>14.75</v>
      </c>
      <c r="G69" s="8">
        <v>59</v>
      </c>
      <c r="H69" s="9">
        <f t="shared" si="5"/>
        <v>0.56864350000000008</v>
      </c>
      <c r="I69" s="9"/>
      <c r="J69" s="7"/>
      <c r="M69" s="17">
        <v>0.12</v>
      </c>
      <c r="N69" s="20"/>
      <c r="O69" s="21"/>
    </row>
    <row r="70" spans="6:15" x14ac:dyDescent="0.35">
      <c r="F70" s="8">
        <f t="shared" si="4"/>
        <v>15</v>
      </c>
      <c r="G70" s="8">
        <v>60</v>
      </c>
      <c r="H70" s="9">
        <f t="shared" si="5"/>
        <v>0.56115000000000004</v>
      </c>
      <c r="I70" s="9"/>
      <c r="J70" s="7"/>
      <c r="M70" s="17">
        <v>0.13</v>
      </c>
      <c r="N70" s="20"/>
      <c r="O70" s="21"/>
    </row>
    <row r="71" spans="6:15" x14ac:dyDescent="0.35">
      <c r="F71" s="8">
        <f t="shared" si="4"/>
        <v>15.25</v>
      </c>
      <c r="G71" s="8">
        <v>61</v>
      </c>
      <c r="H71" s="9">
        <f t="shared" si="5"/>
        <v>0.55559049999999999</v>
      </c>
      <c r="I71" s="9"/>
      <c r="J71" s="7"/>
      <c r="M71" s="17">
        <v>0.14000000000000001</v>
      </c>
      <c r="N71" s="20"/>
      <c r="O71" s="21"/>
    </row>
    <row r="72" spans="6:15" x14ac:dyDescent="0.35">
      <c r="F72" s="8">
        <f t="shared" si="4"/>
        <v>15.5</v>
      </c>
      <c r="G72" s="8">
        <v>62</v>
      </c>
      <c r="H72" s="9">
        <f t="shared" si="5"/>
        <v>0.55003100000000005</v>
      </c>
      <c r="I72" s="9"/>
      <c r="J72" s="7"/>
      <c r="M72" s="17">
        <v>0.15</v>
      </c>
      <c r="N72" s="20"/>
      <c r="O72" s="21"/>
    </row>
    <row r="73" spans="6:15" x14ac:dyDescent="0.35">
      <c r="F73" s="8">
        <f t="shared" si="4"/>
        <v>15.75</v>
      </c>
      <c r="G73" s="8">
        <v>63</v>
      </c>
      <c r="H73" s="9">
        <f t="shared" si="5"/>
        <v>0.5444715</v>
      </c>
      <c r="I73" s="9"/>
      <c r="J73" s="7"/>
      <c r="M73" s="17">
        <v>0.16</v>
      </c>
      <c r="N73" s="20"/>
      <c r="O73" s="21"/>
    </row>
    <row r="74" spans="6:15" x14ac:dyDescent="0.35">
      <c r="F74" s="8">
        <f t="shared" ref="F74:F91" si="6">G74*deltat</f>
        <v>16</v>
      </c>
      <c r="G74" s="8">
        <v>64</v>
      </c>
      <c r="H74" s="9">
        <f t="shared" si="5"/>
        <v>0.53891200000000006</v>
      </c>
      <c r="I74" s="9"/>
      <c r="J74" s="7"/>
      <c r="M74" s="17">
        <v>0.17</v>
      </c>
      <c r="N74" s="20"/>
      <c r="O74" s="21"/>
    </row>
    <row r="75" spans="6:15" x14ac:dyDescent="0.35">
      <c r="F75" s="8">
        <f t="shared" si="6"/>
        <v>16.25</v>
      </c>
      <c r="G75" s="8">
        <v>65</v>
      </c>
      <c r="H75" s="9">
        <f t="shared" si="5"/>
        <v>0.53335250000000001</v>
      </c>
      <c r="I75" s="9"/>
      <c r="J75" s="7"/>
      <c r="M75" s="17">
        <v>0.18</v>
      </c>
      <c r="N75" s="20"/>
      <c r="O75" s="21"/>
    </row>
    <row r="76" spans="6:15" x14ac:dyDescent="0.35">
      <c r="F76" s="8">
        <f t="shared" si="6"/>
        <v>16.5</v>
      </c>
      <c r="G76" s="8">
        <v>66</v>
      </c>
      <c r="H76" s="9">
        <f t="shared" si="5"/>
        <v>0.52779300000000007</v>
      </c>
      <c r="I76" s="9"/>
      <c r="J76" s="7"/>
      <c r="M76" s="17">
        <v>0.19</v>
      </c>
      <c r="N76" s="20"/>
      <c r="O76" s="21"/>
    </row>
    <row r="77" spans="6:15" x14ac:dyDescent="0.35">
      <c r="F77" s="8">
        <f t="shared" si="6"/>
        <v>16.75</v>
      </c>
      <c r="G77" s="8">
        <v>67</v>
      </c>
      <c r="H77" s="9">
        <f t="shared" si="5"/>
        <v>0.52223350000000002</v>
      </c>
      <c r="I77" s="9"/>
      <c r="J77" s="7"/>
      <c r="M77" s="17">
        <v>0.2</v>
      </c>
      <c r="N77" s="20"/>
      <c r="O77" s="21"/>
    </row>
    <row r="78" spans="6:15" x14ac:dyDescent="0.35">
      <c r="F78" s="8">
        <f t="shared" si="6"/>
        <v>17</v>
      </c>
      <c r="G78" s="8">
        <v>68</v>
      </c>
      <c r="H78" s="9">
        <f t="shared" si="5"/>
        <v>0.51667400000000008</v>
      </c>
      <c r="I78" s="9"/>
      <c r="J78" s="7"/>
      <c r="M78" s="17">
        <v>0.21</v>
      </c>
      <c r="N78" s="20"/>
      <c r="O78" s="21"/>
    </row>
    <row r="79" spans="6:15" x14ac:dyDescent="0.35">
      <c r="F79" s="8">
        <f t="shared" si="6"/>
        <v>17.25</v>
      </c>
      <c r="G79" s="8">
        <v>69</v>
      </c>
      <c r="H79" s="9">
        <f t="shared" si="5"/>
        <v>0.51111450000000003</v>
      </c>
      <c r="I79" s="9"/>
      <c r="J79" s="7"/>
      <c r="M79" s="17">
        <v>0.22</v>
      </c>
      <c r="N79" s="20"/>
      <c r="O79" s="21"/>
    </row>
    <row r="80" spans="6:15" x14ac:dyDescent="0.35">
      <c r="F80" s="8">
        <f t="shared" si="6"/>
        <v>17.5</v>
      </c>
      <c r="G80" s="8">
        <v>70</v>
      </c>
      <c r="H80" s="9">
        <f t="shared" si="5"/>
        <v>0.50555499999999998</v>
      </c>
      <c r="I80" s="9"/>
      <c r="J80" s="7"/>
      <c r="M80" s="17">
        <v>0.23</v>
      </c>
      <c r="N80" s="20"/>
      <c r="O80" s="21"/>
    </row>
    <row r="81" spans="6:15" x14ac:dyDescent="0.35">
      <c r="F81" s="8">
        <f t="shared" si="6"/>
        <v>17.75</v>
      </c>
      <c r="G81" s="8">
        <v>71</v>
      </c>
      <c r="H81" s="9">
        <f t="shared" si="5"/>
        <v>0.49999550000000004</v>
      </c>
      <c r="I81" s="9"/>
      <c r="J81" s="7"/>
      <c r="M81" s="17">
        <v>0.24</v>
      </c>
      <c r="N81" s="20"/>
      <c r="O81" s="21"/>
    </row>
    <row r="82" spans="6:15" x14ac:dyDescent="0.35">
      <c r="F82" s="8">
        <f t="shared" si="6"/>
        <v>18</v>
      </c>
      <c r="G82" s="8">
        <v>72</v>
      </c>
      <c r="H82" s="9">
        <f t="shared" si="5"/>
        <v>0.49443600000000004</v>
      </c>
      <c r="I82" s="9"/>
      <c r="J82" s="7"/>
      <c r="M82" s="17">
        <v>0.25</v>
      </c>
      <c r="N82" s="20"/>
      <c r="O82" s="21"/>
    </row>
    <row r="83" spans="6:15" x14ac:dyDescent="0.35">
      <c r="F83" s="8">
        <f t="shared" si="6"/>
        <v>18.25</v>
      </c>
      <c r="G83" s="8">
        <v>73</v>
      </c>
      <c r="H83" s="9">
        <f t="shared" si="5"/>
        <v>0.48887650000000005</v>
      </c>
      <c r="I83" s="9"/>
      <c r="J83" s="7"/>
      <c r="M83" s="17">
        <v>0.26</v>
      </c>
      <c r="N83" s="20"/>
      <c r="O83" s="21"/>
    </row>
    <row r="84" spans="6:15" x14ac:dyDescent="0.35">
      <c r="F84" s="8">
        <f t="shared" si="6"/>
        <v>18.5</v>
      </c>
      <c r="G84" s="8">
        <v>74</v>
      </c>
      <c r="H84" s="9">
        <f t="shared" si="5"/>
        <v>0.483317</v>
      </c>
      <c r="I84" s="9"/>
      <c r="J84" s="7"/>
      <c r="M84" s="17">
        <v>0.27</v>
      </c>
      <c r="N84" s="20"/>
      <c r="O84" s="21"/>
    </row>
    <row r="85" spans="6:15" x14ac:dyDescent="0.35">
      <c r="F85" s="8">
        <f t="shared" si="6"/>
        <v>18.75</v>
      </c>
      <c r="G85" s="8">
        <v>75</v>
      </c>
      <c r="H85" s="9">
        <f t="shared" si="5"/>
        <v>0.47775750000000006</v>
      </c>
      <c r="I85" s="9"/>
      <c r="J85" s="7"/>
      <c r="M85" s="17">
        <v>0.28000000000000003</v>
      </c>
      <c r="N85" s="20"/>
      <c r="O85" s="21"/>
    </row>
    <row r="86" spans="6:15" x14ac:dyDescent="0.35">
      <c r="F86" s="8">
        <f t="shared" si="6"/>
        <v>19</v>
      </c>
      <c r="G86" s="8">
        <v>76</v>
      </c>
      <c r="H86" s="9">
        <f t="shared" si="5"/>
        <v>0.47219800000000001</v>
      </c>
      <c r="I86" s="9"/>
      <c r="J86" s="7"/>
      <c r="M86" s="17">
        <v>0.28999999999999998</v>
      </c>
      <c r="N86" s="20"/>
      <c r="O86" s="21"/>
    </row>
    <row r="87" spans="6:15" x14ac:dyDescent="0.35">
      <c r="F87" s="8">
        <f t="shared" si="6"/>
        <v>19.25</v>
      </c>
      <c r="G87" s="8">
        <v>77</v>
      </c>
      <c r="H87" s="9">
        <f t="shared" si="5"/>
        <v>0.46663850000000001</v>
      </c>
      <c r="I87" s="9"/>
      <c r="J87" s="7"/>
      <c r="M87" s="17">
        <v>0.3</v>
      </c>
      <c r="N87" s="20"/>
      <c r="O87" s="21"/>
    </row>
    <row r="88" spans="6:15" x14ac:dyDescent="0.35">
      <c r="F88" s="8">
        <f t="shared" si="6"/>
        <v>19.5</v>
      </c>
      <c r="G88" s="8">
        <v>78</v>
      </c>
      <c r="H88" s="9">
        <f t="shared" si="5"/>
        <v>0.46107900000000002</v>
      </c>
      <c r="I88" s="9"/>
      <c r="J88" s="7"/>
      <c r="M88" s="17">
        <v>0.31</v>
      </c>
      <c r="N88" s="20"/>
      <c r="O88" s="21"/>
    </row>
    <row r="89" spans="6:15" x14ac:dyDescent="0.35">
      <c r="F89" s="8">
        <f t="shared" si="6"/>
        <v>19.75</v>
      </c>
      <c r="G89" s="8">
        <v>79</v>
      </c>
      <c r="H89" s="9">
        <f t="shared" si="5"/>
        <v>0.45551950000000002</v>
      </c>
      <c r="I89" s="9"/>
      <c r="J89" s="7"/>
      <c r="M89" s="17">
        <v>0.32</v>
      </c>
      <c r="N89" s="20"/>
      <c r="O89" s="21"/>
    </row>
    <row r="90" spans="6:15" x14ac:dyDescent="0.35">
      <c r="F90" s="8">
        <f t="shared" si="6"/>
        <v>20</v>
      </c>
      <c r="G90" s="8">
        <v>80</v>
      </c>
      <c r="H90" s="9">
        <f t="shared" si="5"/>
        <v>0.44996000000000003</v>
      </c>
      <c r="I90" s="9"/>
      <c r="J90" s="7"/>
      <c r="M90" s="17">
        <v>0.33</v>
      </c>
      <c r="N90" s="20"/>
      <c r="O90" s="21"/>
    </row>
    <row r="91" spans="6:15" x14ac:dyDescent="0.35">
      <c r="F91" s="8">
        <f t="shared" si="6"/>
        <v>20.25</v>
      </c>
      <c r="G91" s="8">
        <v>81</v>
      </c>
      <c r="H91" s="9">
        <f t="shared" si="5"/>
        <v>0.44621050000000001</v>
      </c>
      <c r="I91" s="9"/>
      <c r="J91" s="7"/>
      <c r="M91" s="17">
        <v>0.34</v>
      </c>
      <c r="N91" s="20"/>
      <c r="O91" s="21"/>
    </row>
    <row r="92" spans="6:15" x14ac:dyDescent="0.35">
      <c r="M92" s="17">
        <v>0.35</v>
      </c>
      <c r="N92" s="20"/>
      <c r="O92" s="21"/>
    </row>
    <row r="93" spans="6:15" x14ac:dyDescent="0.35">
      <c r="M93" s="17">
        <v>0.36</v>
      </c>
      <c r="N93" s="20"/>
      <c r="O93" s="21"/>
    </row>
    <row r="94" spans="6:15" x14ac:dyDescent="0.35">
      <c r="M94" s="17">
        <v>0.37</v>
      </c>
      <c r="N94" s="20"/>
      <c r="O94" s="21"/>
    </row>
    <row r="95" spans="6:15" x14ac:dyDescent="0.35">
      <c r="M95" s="17">
        <v>0.38</v>
      </c>
      <c r="N95" s="20"/>
      <c r="O95" s="21"/>
    </row>
    <row r="96" spans="6:15" x14ac:dyDescent="0.35">
      <c r="M96" s="17">
        <v>0.39</v>
      </c>
      <c r="N96" s="20"/>
      <c r="O96" s="21"/>
    </row>
    <row r="97" spans="13:15" x14ac:dyDescent="0.35">
      <c r="M97" s="17">
        <v>0.4</v>
      </c>
      <c r="N97" s="20"/>
      <c r="O97" s="21"/>
    </row>
    <row r="98" spans="13:15" x14ac:dyDescent="0.35">
      <c r="M98" s="17">
        <v>0.41</v>
      </c>
      <c r="N98" s="20"/>
      <c r="O98" s="21"/>
    </row>
    <row r="99" spans="13:15" x14ac:dyDescent="0.35">
      <c r="M99" s="17">
        <v>0.42</v>
      </c>
      <c r="N99" s="20"/>
      <c r="O99" s="21"/>
    </row>
    <row r="100" spans="13:15" x14ac:dyDescent="0.35">
      <c r="M100" s="17">
        <v>0.43</v>
      </c>
      <c r="N100" s="20"/>
      <c r="O100" s="21"/>
    </row>
    <row r="101" spans="13:15" x14ac:dyDescent="0.35">
      <c r="M101" s="17">
        <v>0.44</v>
      </c>
      <c r="N101" s="20"/>
      <c r="O101" s="21"/>
    </row>
    <row r="102" spans="13:15" x14ac:dyDescent="0.35">
      <c r="M102" s="17">
        <v>0.45</v>
      </c>
      <c r="N102" s="20"/>
      <c r="O102" s="21"/>
    </row>
    <row r="103" spans="13:15" x14ac:dyDescent="0.35">
      <c r="M103" s="17">
        <v>0.46</v>
      </c>
      <c r="N103" s="20"/>
      <c r="O103" s="21"/>
    </row>
    <row r="104" spans="13:15" x14ac:dyDescent="0.35">
      <c r="M104" s="17">
        <v>0.47</v>
      </c>
      <c r="N104" s="20"/>
      <c r="O104" s="21"/>
    </row>
    <row r="105" spans="13:15" x14ac:dyDescent="0.35">
      <c r="M105" s="17">
        <v>0.48</v>
      </c>
      <c r="N105" s="20"/>
      <c r="O105" s="21"/>
    </row>
    <row r="106" spans="13:15" x14ac:dyDescent="0.35">
      <c r="M106" s="17">
        <v>0.49</v>
      </c>
      <c r="N106" s="20"/>
      <c r="O106" s="21"/>
    </row>
    <row r="107" spans="13:15" x14ac:dyDescent="0.35">
      <c r="M107" s="17">
        <v>0.5</v>
      </c>
      <c r="N107" s="20"/>
      <c r="O107" s="21"/>
    </row>
    <row r="108" spans="13:15" x14ac:dyDescent="0.35">
      <c r="M108" s="17">
        <v>0.51</v>
      </c>
      <c r="N108" s="20"/>
      <c r="O108" s="21"/>
    </row>
    <row r="109" spans="13:15" x14ac:dyDescent="0.35">
      <c r="M109" s="17">
        <v>0.52</v>
      </c>
      <c r="N109" s="20"/>
      <c r="O109" s="21"/>
    </row>
    <row r="110" spans="13:15" x14ac:dyDescent="0.35">
      <c r="M110" s="17">
        <v>0.53</v>
      </c>
      <c r="N110" s="20"/>
      <c r="O110" s="21"/>
    </row>
    <row r="111" spans="13:15" x14ac:dyDescent="0.35">
      <c r="M111" s="17">
        <v>0.54</v>
      </c>
      <c r="N111" s="20"/>
      <c r="O111" s="21"/>
    </row>
    <row r="112" spans="13:15" x14ac:dyDescent="0.35">
      <c r="M112" s="17">
        <v>0.55000000000000004</v>
      </c>
      <c r="N112" s="20"/>
      <c r="O112" s="21"/>
    </row>
    <row r="113" spans="13:15" x14ac:dyDescent="0.35">
      <c r="M113" s="17">
        <v>0.56000000000000005</v>
      </c>
      <c r="N113" s="20"/>
      <c r="O113" s="21"/>
    </row>
    <row r="114" spans="13:15" x14ac:dyDescent="0.35">
      <c r="M114" s="17">
        <v>0.56999999999999995</v>
      </c>
      <c r="N114" s="20"/>
      <c r="O114" s="21"/>
    </row>
    <row r="115" spans="13:15" x14ac:dyDescent="0.35">
      <c r="M115" s="17">
        <v>0.57999999999999996</v>
      </c>
      <c r="N115" s="20"/>
      <c r="O115" s="21"/>
    </row>
    <row r="116" spans="13:15" x14ac:dyDescent="0.35">
      <c r="M116" s="17">
        <v>0.59</v>
      </c>
      <c r="N116" s="20"/>
      <c r="O116" s="21"/>
    </row>
    <row r="117" spans="13:15" ht="15" thickBot="1" x14ac:dyDescent="0.4">
      <c r="M117" s="17">
        <v>0.6</v>
      </c>
      <c r="N117" s="22"/>
      <c r="O117" s="2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Hoja1</vt:lpstr>
      <vt:lpstr>deltat</vt:lpstr>
      <vt:lpstr>vola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</dc:creator>
  <cp:lastModifiedBy>José Javier Calderón Coronado</cp:lastModifiedBy>
  <dcterms:created xsi:type="dcterms:W3CDTF">2010-03-12T10:15:58Z</dcterms:created>
  <dcterms:modified xsi:type="dcterms:W3CDTF">2025-01-31T14:00:10Z</dcterms:modified>
</cp:coreProperties>
</file>