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2. Marco Black. Tipos\2. Valoración. Marco Black. Tipos. Ejercicios\"/>
    </mc:Choice>
  </mc:AlternateContent>
  <xr:revisionPtr revIDLastSave="0" documentId="13_ncr:1_{1446E5CF-B083-4CA6-987E-F8BA89A1CFC9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ja1" sheetId="1" r:id="rId1"/>
  </sheets>
  <definedNames>
    <definedName name="deltat">Hoja1!$D$8</definedName>
    <definedName name="descuento1">Hoja1!$G$3</definedName>
    <definedName name="descuento2">Hoja1!$G$4</definedName>
    <definedName name="fwd0">Hoja1!$G$6</definedName>
    <definedName name="K">Hoja1!$D$4</definedName>
    <definedName name="nom">Hoja1!$D$3</definedName>
    <definedName name="plazo1">Hoja1!$D$6</definedName>
    <definedName name="plazo2">Hoja1!$D$7</definedName>
    <definedName name="vola">Hoja1!$D$5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</author>
  </authors>
  <commentList>
    <comment ref="F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usando paridad call-put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<sst xmlns="http://schemas.openxmlformats.org/spreadsheetml/2006/main" count="38" uniqueCount="35">
  <si>
    <t>T</t>
  </si>
  <si>
    <t>T'</t>
  </si>
  <si>
    <t>deltat</t>
  </si>
  <si>
    <t>P(0,T)</t>
  </si>
  <si>
    <t>P(0,T')</t>
  </si>
  <si>
    <t>moneyness</t>
  </si>
  <si>
    <t>vola acum</t>
  </si>
  <si>
    <t>dmas</t>
  </si>
  <si>
    <t>dmenos</t>
  </si>
  <si>
    <t>phi(dmas)</t>
  </si>
  <si>
    <t>phi(dmenos)</t>
  </si>
  <si>
    <t>caplet</t>
  </si>
  <si>
    <t>floorlet</t>
  </si>
  <si>
    <t>nominal</t>
  </si>
  <si>
    <t>strike</t>
  </si>
  <si>
    <t>volatilidad</t>
  </si>
  <si>
    <t>descuentos</t>
  </si>
  <si>
    <t>tipo fwd(0)</t>
  </si>
  <si>
    <t>Datos</t>
  </si>
  <si>
    <t>Cálculo de primas</t>
  </si>
  <si>
    <t>caplet in arrears</t>
  </si>
  <si>
    <t>fwd corregido</t>
  </si>
  <si>
    <t>prima FRA in arrears</t>
  </si>
  <si>
    <t>d*</t>
  </si>
  <si>
    <t>corrección in arrears</t>
  </si>
  <si>
    <t>phi(d*)</t>
  </si>
  <si>
    <t>FRA in arrears</t>
  </si>
  <si>
    <t>Versiones in arrears</t>
  </si>
  <si>
    <t>Caplet in arrears</t>
  </si>
  <si>
    <t>aproximación del fwd corregido</t>
  </si>
  <si>
    <t>usando aproximación</t>
  </si>
  <si>
    <t>fra</t>
  </si>
  <si>
    <t>diferencia con FRA usual</t>
  </si>
  <si>
    <t>diferencia con caplet usual</t>
  </si>
  <si>
    <t>diferencia 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</si>
</sst>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0000"/>
    <numFmt numFmtId="165" formatCode="0.0000%"/>
    <numFmt numFmtId="166" formatCode="0.00000%"/>
    <numFmt numFmtId="167" formatCode="0.000000%"/>
    <numFmt numFmtId="168" formatCode="0.000%"/>
    <numFmt numFmtId="169" formatCode="_-* #,##0.000\ &quot;€&quot;_-;\-* #,##0.000\ &quot;€&quot;_-;_-* &quot;-&quot;??\ &quot;€&quot;_-;_-@_-"/>
  </numFmts>
  <fonts count="10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  <font>
      <b/>
      <i/>
      <sz val="11"/>
      <color theme="3"/>
      <name val="Amasis MT Pro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6" xfId="0" applyBorder="1"/>
    <xf numFmtId="0" fontId="2" fillId="0" borderId="0" xfId="0" applyFont="1"/>
    <xf numFmtId="0" fontId="0" fillId="0" borderId="2" xfId="0" applyBorder="1"/>
    <xf numFmtId="10" fontId="1" fillId="0" borderId="6" xfId="1" applyNumberFormat="1" applyFont="1" applyBorder="1"/>
    <xf numFmtId="164" fontId="0" fillId="0" borderId="2" xfId="0" applyNumberFormat="1" applyBorder="1"/>
    <xf numFmtId="0" fontId="3" fillId="0" borderId="0" xfId="0" applyFont="1" applyAlignment="1">
      <alignment horizontal="center"/>
    </xf>
    <xf numFmtId="0" fontId="0" fillId="0" borderId="8" xfId="0" applyBorder="1"/>
    <xf numFmtId="165" fontId="1" fillId="0" borderId="2" xfId="1" applyNumberFormat="1" applyFont="1" applyBorder="1"/>
    <xf numFmtId="165" fontId="1" fillId="0" borderId="6" xfId="1" applyNumberFormat="1" applyFont="1" applyBorder="1"/>
    <xf numFmtId="166" fontId="1" fillId="0" borderId="9" xfId="1" applyNumberFormat="1" applyFont="1" applyBorder="1"/>
    <xf numFmtId="0" fontId="0" fillId="3" borderId="0" xfId="0" applyFill="1"/>
    <xf numFmtId="167" fontId="1" fillId="0" borderId="0" xfId="1" applyNumberFormat="1" applyFont="1"/>
    <xf numFmtId="168" fontId="0" fillId="0" borderId="0" xfId="1" applyNumberFormat="1" applyFont="1"/>
    <xf numFmtId="168" fontId="0" fillId="0" borderId="2" xfId="1" applyNumberFormat="1" applyFont="1" applyBorder="1"/>
    <xf numFmtId="168" fontId="0" fillId="0" borderId="6" xfId="1" applyNumberFormat="1" applyFont="1" applyBorder="1"/>
    <xf numFmtId="169" fontId="0" fillId="0" borderId="0" xfId="2" applyNumberFormat="1" applyFont="1"/>
    <xf numFmtId="169" fontId="0" fillId="2" borderId="7" xfId="2" applyNumberFormat="1" applyFont="1" applyFill="1" applyBorder="1"/>
    <xf numFmtId="169" fontId="0" fillId="2" borderId="8" xfId="2" applyNumberFormat="1" applyFont="1" applyFill="1" applyBorder="1"/>
    <xf numFmtId="169" fontId="0" fillId="2" borderId="9" xfId="2" applyNumberFormat="1" applyFont="1" applyFill="1" applyBorder="1"/>
    <xf numFmtId="169" fontId="0" fillId="2" borderId="0" xfId="2" applyNumberFormat="1" applyFont="1" applyFill="1"/>
    <xf numFmtId="0" fontId="7" fillId="4" borderId="1" xfId="0" applyFont="1" applyFill="1" applyBorder="1"/>
    <xf numFmtId="0" fontId="7" fillId="4" borderId="3" xfId="0" applyFont="1" applyFill="1" applyBorder="1"/>
    <xf numFmtId="0" fontId="7" fillId="4" borderId="5" xfId="0" applyFont="1" applyFill="1" applyBorder="1"/>
    <xf numFmtId="44" fontId="0" fillId="0" borderId="2" xfId="2" applyFont="1" applyFill="1" applyBorder="1"/>
    <xf numFmtId="10" fontId="0" fillId="0" borderId="4" xfId="0" applyNumberFormat="1" applyBorder="1"/>
    <xf numFmtId="9" fontId="0" fillId="0" borderId="4" xfId="0" applyNumberFormat="1" applyBorder="1"/>
    <xf numFmtId="0" fontId="0" fillId="0" borderId="4" xfId="0" applyBorder="1"/>
    <xf numFmtId="0" fontId="7" fillId="4" borderId="7" xfId="0" applyFont="1" applyFill="1" applyBorder="1"/>
    <xf numFmtId="0" fontId="8" fillId="4" borderId="7" xfId="0" applyFont="1" applyFill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4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817562</xdr:colOff>
      <xdr:row>30</xdr:row>
      <xdr:rowOff>55803</xdr:rowOff>
    </xdr:from>
    <xdr:to>
      <xdr:col>15</xdr:col>
      <xdr:colOff>717549</xdr:colOff>
      <xdr:row>32</xdr:row>
      <xdr:rowOff>173038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937" y="5810491"/>
          <a:ext cx="7112000" cy="56649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693255</xdr:colOff>
      <xdr:row>23</xdr:row>
      <xdr:rowOff>142874</xdr:rowOff>
    </xdr:from>
    <xdr:to>
      <xdr:col>10</xdr:col>
      <xdr:colOff>6350</xdr:colOff>
      <xdr:row>26</xdr:row>
      <xdr:rowOff>161923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130" y="4437062"/>
          <a:ext cx="1691170" cy="69532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187202</xdr:colOff>
      <xdr:row>23</xdr:row>
      <xdr:rowOff>63497</xdr:rowOff>
    </xdr:from>
    <xdr:to>
      <xdr:col>13</xdr:col>
      <xdr:colOff>630238</xdr:colOff>
      <xdr:row>27</xdr:row>
      <xdr:rowOff>85722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077" y="4357685"/>
          <a:ext cx="2027361" cy="8794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809625</xdr:colOff>
      <xdr:row>33</xdr:row>
      <xdr:rowOff>87312</xdr:rowOff>
    </xdr:from>
    <xdr:to>
      <xdr:col>12</xdr:col>
      <xdr:colOff>703568</xdr:colOff>
      <xdr:row>36</xdr:row>
      <xdr:rowOff>126999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6413500"/>
          <a:ext cx="4727881" cy="6826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16</xdr:col>
      <xdr:colOff>305180</xdr:colOff>
      <xdr:row>9</xdr:row>
      <xdr:rowOff>55562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1875" y="1365250"/>
          <a:ext cx="5067680" cy="5079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15874</xdr:colOff>
      <xdr:row>9</xdr:row>
      <xdr:rowOff>174626</xdr:rowOff>
    </xdr:from>
    <xdr:to>
      <xdr:col>16</xdr:col>
      <xdr:colOff>269873</xdr:colOff>
      <xdr:row>11</xdr:row>
      <xdr:rowOff>162461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49" y="1928814"/>
          <a:ext cx="5016499" cy="46091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N36"/>
  <sheetViews>
    <sheetView showGridLines="0" tabSelected="1" zoomScale="120" zoomScaleNormal="120" workbookViewId="0"/>
  </sheetViews>
  <sheetFormatPr defaultColWidth="11.36328125" defaultRowHeight="14.5" x14ac:dyDescent="0.35"/>
  <cols>
    <col min="3" max="3" width="26.54296875" customWidth="1"/>
    <col min="4" max="4" width="13.54296875" customWidth="1"/>
    <col min="5" max="5" width="15.6328125" customWidth="1"/>
    <col min="6" max="6" width="12.08984375" customWidth="1"/>
    <col min="7" max="7" width="12.36328125" customWidth="1"/>
  </cols>
  <sheetData>
    <row r="2" spans="3:8" ht="15" thickBot="1" x14ac:dyDescent="0.4">
      <c r="C2" s="38" t="s">
        <v>18</v>
      </c>
      <c r="D2" s="38"/>
      <c r="F2" s="2" t="s">
        <v>16</v>
      </c>
    </row>
    <row r="3" spans="3:8" ht="15" x14ac:dyDescent="0.4">
      <c r="C3" s="21" t="s">
        <v>13</v>
      </c>
      <c r="D3" s="24">
        <v>100000</v>
      </c>
      <c r="F3" s="21" t="s">
        <v>3</v>
      </c>
      <c r="G3" s="14">
        <v>0.99829999999999997</v>
      </c>
    </row>
    <row r="4" spans="3:8" ht="15.5" thickBot="1" x14ac:dyDescent="0.45">
      <c r="C4" s="22" t="s">
        <v>14</v>
      </c>
      <c r="D4" s="25">
        <v>4.0000000000000001E-3</v>
      </c>
      <c r="F4" s="23" t="s">
        <v>4</v>
      </c>
      <c r="G4" s="15">
        <v>0.99760000000000004</v>
      </c>
    </row>
    <row r="5" spans="3:8" ht="15.5" thickBot="1" x14ac:dyDescent="0.45">
      <c r="C5" s="22" t="s">
        <v>15</v>
      </c>
      <c r="D5" s="26">
        <v>0.3</v>
      </c>
    </row>
    <row r="6" spans="3:8" ht="15.5" thickBot="1" x14ac:dyDescent="0.45">
      <c r="C6" s="22" t="s">
        <v>0</v>
      </c>
      <c r="D6" s="27">
        <v>0.75</v>
      </c>
      <c r="F6" s="28" t="s">
        <v>17</v>
      </c>
      <c r="G6" s="10"/>
    </row>
    <row r="7" spans="3:8" ht="15" x14ac:dyDescent="0.4">
      <c r="C7" s="22" t="s">
        <v>1</v>
      </c>
      <c r="D7" s="27">
        <v>1</v>
      </c>
    </row>
    <row r="8" spans="3:8" ht="15.5" thickBot="1" x14ac:dyDescent="0.45">
      <c r="C8" s="23" t="s">
        <v>2</v>
      </c>
      <c r="D8" s="1">
        <f>D7-D6</f>
        <v>0.25</v>
      </c>
    </row>
    <row r="10" spans="3:8" ht="15" thickBot="1" x14ac:dyDescent="0.4"/>
    <row r="11" spans="3:8" ht="15" x14ac:dyDescent="0.4">
      <c r="C11" s="21" t="s">
        <v>5</v>
      </c>
      <c r="D11" s="5"/>
      <c r="E11" s="21" t="s">
        <v>7</v>
      </c>
      <c r="F11" s="3"/>
      <c r="G11" s="21" t="s">
        <v>9</v>
      </c>
      <c r="H11" s="8"/>
    </row>
    <row r="12" spans="3:8" ht="15.5" thickBot="1" x14ac:dyDescent="0.45">
      <c r="C12" s="23" t="s">
        <v>6</v>
      </c>
      <c r="D12" s="4"/>
      <c r="E12" s="23" t="s">
        <v>8</v>
      </c>
      <c r="F12" s="1"/>
      <c r="G12" s="23" t="s">
        <v>10</v>
      </c>
      <c r="H12" s="9"/>
    </row>
    <row r="14" spans="3:8" ht="15" thickBot="1" x14ac:dyDescent="0.4"/>
    <row r="15" spans="3:8" ht="15" thickBot="1" x14ac:dyDescent="0.4">
      <c r="C15" s="29" t="s">
        <v>19</v>
      </c>
      <c r="D15" s="7"/>
      <c r="E15" s="30" t="s">
        <v>11</v>
      </c>
      <c r="F15" s="30" t="s">
        <v>12</v>
      </c>
      <c r="G15" s="31" t="s">
        <v>31</v>
      </c>
      <c r="H15" s="6"/>
    </row>
    <row r="16" spans="3:8" ht="15" thickBot="1" x14ac:dyDescent="0.4"/>
    <row r="17" spans="3:14" ht="15" thickBot="1" x14ac:dyDescent="0.4">
      <c r="E17" s="17"/>
      <c r="F17" s="18"/>
      <c r="G17" s="19"/>
    </row>
    <row r="18" spans="3:14" x14ac:dyDescent="0.35">
      <c r="F18" s="16"/>
      <c r="G18" s="16"/>
    </row>
    <row r="20" spans="3:14" s="11" customFormat="1" ht="9.75" customHeight="1" x14ac:dyDescent="0.35"/>
    <row r="22" spans="3:14" ht="15" thickBot="1" x14ac:dyDescent="0.4">
      <c r="C22" s="2" t="s">
        <v>27</v>
      </c>
    </row>
    <row r="23" spans="3:14" ht="15" thickBot="1" x14ac:dyDescent="0.4">
      <c r="I23" s="35" t="s">
        <v>21</v>
      </c>
      <c r="J23" s="36"/>
      <c r="L23" s="35" t="s">
        <v>29</v>
      </c>
      <c r="M23" s="37"/>
      <c r="N23" s="36"/>
    </row>
    <row r="24" spans="3:14" ht="15" x14ac:dyDescent="0.4">
      <c r="C24" s="2" t="s">
        <v>26</v>
      </c>
      <c r="F24" s="33" t="s">
        <v>30</v>
      </c>
    </row>
    <row r="25" spans="3:14" ht="15" x14ac:dyDescent="0.4">
      <c r="C25" s="32" t="s">
        <v>21</v>
      </c>
      <c r="D25" s="12"/>
      <c r="F25" s="12"/>
    </row>
    <row r="26" spans="3:14" ht="15" x14ac:dyDescent="0.4">
      <c r="C26" s="32" t="s">
        <v>22</v>
      </c>
      <c r="D26" s="20"/>
      <c r="F26" s="20"/>
    </row>
    <row r="27" spans="3:14" ht="15" x14ac:dyDescent="0.4">
      <c r="C27" s="32" t="s">
        <v>32</v>
      </c>
      <c r="D27" s="16"/>
    </row>
    <row r="28" spans="3:14" ht="15" x14ac:dyDescent="0.4">
      <c r="C28" s="32" t="s">
        <v>34</v>
      </c>
      <c r="D28" s="13"/>
    </row>
    <row r="30" spans="3:14" x14ac:dyDescent="0.35">
      <c r="C30" s="2" t="s">
        <v>28</v>
      </c>
    </row>
    <row r="31" spans="3:14" ht="15" x14ac:dyDescent="0.4">
      <c r="C31" s="32" t="s">
        <v>23</v>
      </c>
      <c r="E31" s="34" t="s">
        <v>25</v>
      </c>
    </row>
    <row r="32" spans="3:14" ht="15" x14ac:dyDescent="0.4">
      <c r="C32" s="32" t="s">
        <v>11</v>
      </c>
    </row>
    <row r="33" spans="3:4" ht="15" x14ac:dyDescent="0.4">
      <c r="C33" s="32" t="s">
        <v>24</v>
      </c>
    </row>
    <row r="34" spans="3:4" ht="15" x14ac:dyDescent="0.4">
      <c r="C34" s="32" t="s">
        <v>20</v>
      </c>
      <c r="D34" s="20"/>
    </row>
    <row r="35" spans="3:4" ht="15" x14ac:dyDescent="0.4">
      <c r="C35" s="32" t="s">
        <v>33</v>
      </c>
      <c r="D35" s="16"/>
    </row>
    <row r="36" spans="3:4" ht="15" x14ac:dyDescent="0.4">
      <c r="C36" s="32" t="s">
        <v>34</v>
      </c>
      <c r="D36" s="13"/>
    </row>
  </sheetData>
  <mergeCells count="3">
    <mergeCell ref="I23:J23"/>
    <mergeCell ref="L23:N23"/>
    <mergeCell ref="C2:D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Hoja1</vt:lpstr>
      <vt:lpstr>deltat</vt:lpstr>
      <vt:lpstr>descuento1</vt:lpstr>
      <vt:lpstr>descuento2</vt:lpstr>
      <vt:lpstr>fwd0</vt:lpstr>
      <vt:lpstr>K</vt:lpstr>
      <vt:lpstr>nom</vt:lpstr>
      <vt:lpstr>plazo1</vt:lpstr>
      <vt:lpstr>plazo2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2010-02-26T12:35:02Z</dcterms:created>
  <dcterms:modified xsi:type="dcterms:W3CDTF">2025-01-31T14:00:15Z</dcterms:modified>
</cp:coreProperties>
</file>