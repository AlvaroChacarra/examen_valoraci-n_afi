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2025_04_Valoracion_MFC\Valoración\Documentación\2. Marco Black. Tipos\2. Valoración. Marco Black. Tipos. Ejercicios\"/>
    </mc:Choice>
  </mc:AlternateContent>
  <xr:revisionPtr revIDLastSave="0" documentId="13_ncr:1_{A5B6F670-EABD-4C6D-A64E-DA73FAD7854D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Hoja1" sheetId="1" r:id="rId1"/>
  </sheets>
  <functionGroups builtInGroupCount="19"/>
  <definedNames>
    <definedName name="deltat">Hoja1!$D$9</definedName>
    <definedName name="fechavalor">Hoja1!$D$8</definedName>
    <definedName name="Nom">Hoja1!$M$9</definedName>
    <definedName name="solver_adj" localSheetId="0" hidden="1">Hoja1!$Q$9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Hoja1!$S$14</definedName>
    <definedName name="solver_pre" localSheetId="0" hidden="1">0.000001</definedName>
    <definedName name="solver_rbv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  <definedName name="spread">Hoja1!$Q$9</definedName>
    <definedName name="vola">Hoja1!$Q$8</definedName>
  </definedNames>
  <calcPr calcId="191029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15" i="1" l="1"/>
  <c r="E36" i="1" l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H16" i="1" l="1"/>
  <c r="I16" i="1"/>
  <c r="I15" i="1"/>
  <c r="H17" i="1" l="1"/>
  <c r="L14" i="1"/>
  <c r="O14" i="1"/>
  <c r="P14" i="1"/>
  <c r="Q14" i="1"/>
  <c r="M14" i="1"/>
  <c r="I17" i="1"/>
  <c r="H18" i="1" l="1"/>
  <c r="S14" i="1"/>
  <c r="I18" i="1"/>
  <c r="H19" i="1" l="1"/>
  <c r="I19" i="1"/>
  <c r="H20" i="1" l="1"/>
  <c r="I20" i="1"/>
  <c r="H21" i="1" l="1"/>
  <c r="I21" i="1"/>
  <c r="H22" i="1" l="1"/>
  <c r="I22" i="1"/>
  <c r="H23" i="1" l="1"/>
  <c r="I23" i="1"/>
  <c r="H24" i="1" l="1"/>
  <c r="I24" i="1"/>
  <c r="H25" i="1" l="1"/>
  <c r="I25" i="1"/>
  <c r="H26" i="1" l="1"/>
  <c r="I26" i="1"/>
  <c r="H27" i="1" l="1"/>
  <c r="I27" i="1"/>
  <c r="H28" i="1" l="1"/>
  <c r="I28" i="1"/>
  <c r="H29" i="1" l="1"/>
  <c r="I29" i="1"/>
  <c r="H30" i="1" l="1"/>
  <c r="I30" i="1"/>
  <c r="H31" i="1" l="1"/>
  <c r="I31" i="1"/>
  <c r="H32" i="1" l="1"/>
  <c r="I32" i="1"/>
  <c r="H33" i="1" l="1"/>
  <c r="I33" i="1"/>
  <c r="H34" i="1" l="1"/>
  <c r="I34" i="1"/>
  <c r="H35" i="1" l="1"/>
  <c r="I35" i="1"/>
  <c r="H36" i="1" l="1"/>
  <c r="I36" i="1"/>
  <c r="H37" i="1" l="1"/>
  <c r="I37" i="1"/>
  <c r="H38" i="1" l="1"/>
  <c r="I38" i="1"/>
  <c r="H39" i="1" l="1"/>
  <c r="I39" i="1"/>
  <c r="H40" i="1" l="1"/>
  <c r="I40" i="1"/>
  <c r="H41" i="1" l="1"/>
  <c r="I41" i="1"/>
  <c r="H42" i="1" l="1"/>
  <c r="I42" i="1"/>
  <c r="H43" i="1" l="1"/>
  <c r="I43" i="1"/>
  <c r="H44" i="1" l="1"/>
  <c r="I44" i="1"/>
  <c r="H45" i="1" l="1"/>
  <c r="I45" i="1"/>
  <c r="H46" i="1" l="1"/>
  <c r="I46" i="1"/>
  <c r="H47" i="1" l="1"/>
  <c r="I47" i="1"/>
  <c r="H48" i="1" l="1"/>
  <c r="I48" i="1"/>
  <c r="H49" i="1" l="1"/>
  <c r="I49" i="1"/>
  <c r="H50" i="1" l="1"/>
  <c r="I50" i="1"/>
  <c r="H51" i="1" l="1"/>
  <c r="I51" i="1"/>
  <c r="H52" i="1" l="1"/>
  <c r="I52" i="1"/>
  <c r="H53" i="1" l="1"/>
  <c r="I53" i="1"/>
  <c r="H54" i="1" l="1"/>
  <c r="I54" i="1"/>
  <c r="H55" i="1" l="1"/>
  <c r="I5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Euclides</author>
  </authors>
  <commentList>
    <comment ref="Q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usar solver para determinar spread que hace que el swap in arrears esté equilibrado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<sst xmlns="http://schemas.openxmlformats.org/spreadsheetml/2006/main" count="46" uniqueCount="42">
  <si>
    <t>datos ccc</t>
  </si>
  <si>
    <t>fecha</t>
  </si>
  <si>
    <t>plazo</t>
  </si>
  <si>
    <t>FD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</si>
  <si>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</si>
  <si>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</si>
  <si>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</si>
  <si>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</si>
  <si>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</si>
  <si>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</si>
  <si>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</si>
  <si>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</si>
  <si>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</si>
  <si>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</si>
  <si>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</si>
  <si>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</si>
  <si>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2A</t>
  </si>
  <si>
    <t>3A</t>
  </si>
  <si>
    <t>4A</t>
  </si>
  <si>
    <t>5A</t>
  </si>
  <si>
    <t>6A</t>
  </si>
  <si>
    <t>7A</t>
  </si>
  <si>
    <t>8A</t>
  </si>
  <si>
    <t>9A</t>
  </si>
  <si>
    <t>10A</t>
  </si>
  <si>
    <t>fecha valor</t>
  </si>
  <si>
    <t>deltat</t>
  </si>
  <si>
    <t>plazos</t>
  </si>
  <si>
    <t>tipo fwd -swap hoy</t>
  </si>
  <si>
    <t>anualidad</t>
  </si>
  <si>
    <t>rama variable</t>
  </si>
  <si>
    <t>fwd</t>
  </si>
  <si>
    <t>rama fija</t>
  </si>
  <si>
    <t>vola</t>
  </si>
  <si>
    <t>spread</t>
  </si>
  <si>
    <t>interpolación de descuentos</t>
  </si>
  <si>
    <t>swap normal</t>
  </si>
  <si>
    <t>swap in arrears</t>
  </si>
  <si>
    <t>discrepancia para solver</t>
  </si>
  <si>
    <t>valoración de flujos</t>
  </si>
  <si>
    <t>valoración naive</t>
  </si>
  <si>
    <t>Nominal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</si>
</sst>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0.000"/>
    <numFmt numFmtId="165" formatCode="0.000%"/>
    <numFmt numFmtId="166" formatCode="0.00000"/>
    <numFmt numFmtId="167" formatCode="0.0000%"/>
    <numFmt numFmtId="168" formatCode="0.000000%"/>
  </numFmts>
  <fonts count="11" x14ac:knownFonts="1">
    <font>
      <sz val="11"/>
      <color theme="1"/>
      <name val="Amasis MT Pro"/>
      <family val="2"/>
      <scheme val="minor"/>
    </font>
    <font>
      <sz val="11"/>
      <color theme="1"/>
      <name val="Amasis MT Pro"/>
      <family val="2"/>
      <scheme val="minor"/>
    </font>
    <font>
      <b/>
      <i/>
      <sz val="11"/>
      <color theme="1"/>
      <name val="Amasis MT Pro"/>
      <family val="2"/>
      <scheme val="minor"/>
    </font>
    <font>
      <b/>
      <i/>
      <sz val="11"/>
      <name val="Amasis MT Pro"/>
      <family val="2"/>
      <scheme val="minor"/>
    </font>
    <font>
      <b/>
      <sz val="11"/>
      <name val="Amasis MT Pro"/>
      <family val="2"/>
      <scheme val="minor"/>
    </font>
    <font>
      <sz val="11"/>
      <name val="Amasis MT Pro"/>
      <family val="2"/>
      <scheme val="minor"/>
    </font>
    <font>
      <i/>
      <sz val="11"/>
      <color theme="1"/>
      <name val="Amasis MT Pro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Amasis MT Pro"/>
      <family val="2"/>
      <scheme val="minor"/>
    </font>
    <font>
      <b/>
      <i/>
      <sz val="11"/>
      <color theme="0"/>
      <name val="Amasis MT Pro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14" fontId="3" fillId="0" borderId="3" xfId="0" applyNumberFormat="1" applyFont="1" applyBorder="1"/>
    <xf numFmtId="0" fontId="3" fillId="0" borderId="5" xfId="0" applyFont="1" applyBorder="1"/>
    <xf numFmtId="0" fontId="4" fillId="0" borderId="1" xfId="0" applyFont="1" applyBorder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2" xfId="0" applyBorder="1"/>
    <xf numFmtId="0" fontId="0" fillId="0" borderId="10" xfId="0" applyBorder="1"/>
    <xf numFmtId="0" fontId="0" fillId="0" borderId="4" xfId="0" applyBorder="1"/>
    <xf numFmtId="164" fontId="0" fillId="0" borderId="2" xfId="0" applyNumberFormat="1" applyBorder="1"/>
    <xf numFmtId="9" fontId="0" fillId="2" borderId="3" xfId="0" applyNumberFormat="1" applyFill="1" applyBorder="1"/>
    <xf numFmtId="10" fontId="2" fillId="0" borderId="0" xfId="1" applyNumberFormat="1" applyFont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165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11" xfId="1" applyNumberFormat="1" applyFont="1" applyBorder="1"/>
    <xf numFmtId="168" fontId="0" fillId="0" borderId="0" xfId="0" applyNumberFormat="1"/>
    <xf numFmtId="165" fontId="0" fillId="0" borderId="0" xfId="1" applyNumberFormat="1" applyFont="1"/>
    <xf numFmtId="0" fontId="0" fillId="0" borderId="0" xfId="0" applyAlignment="1">
      <alignment horizontal="center" vertical="center" wrapText="1"/>
    </xf>
    <xf numFmtId="165" fontId="5" fillId="2" borderId="11" xfId="1" applyNumberFormat="1" applyFont="1" applyFill="1" applyBorder="1"/>
    <xf numFmtId="165" fontId="5" fillId="2" borderId="5" xfId="1" applyNumberFormat="1" applyFont="1" applyFill="1" applyBorder="1"/>
    <xf numFmtId="164" fontId="0" fillId="0" borderId="0" xfId="0" applyNumberFormat="1"/>
    <xf numFmtId="164" fontId="0" fillId="0" borderId="12" xfId="0" applyNumberFormat="1" applyBorder="1"/>
    <xf numFmtId="14" fontId="5" fillId="0" borderId="13" xfId="0" applyNumberFormat="1" applyFont="1" applyBorder="1"/>
    <xf numFmtId="14" fontId="5" fillId="0" borderId="14" xfId="0" applyNumberFormat="1" applyFont="1" applyBorder="1"/>
    <xf numFmtId="44" fontId="0" fillId="0" borderId="0" xfId="2" applyFont="1"/>
    <xf numFmtId="44" fontId="0" fillId="0" borderId="0" xfId="2" applyFont="1" applyAlignment="1">
      <alignment horizontal="center"/>
    </xf>
    <xf numFmtId="10" fontId="0" fillId="0" borderId="0" xfId="0" applyNumberFormat="1"/>
    <xf numFmtId="167" fontId="2" fillId="0" borderId="0" xfId="1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4" fontId="4" fillId="4" borderId="15" xfId="0" applyNumberFormat="1" applyFont="1" applyFill="1" applyBorder="1"/>
    <xf numFmtId="10" fontId="0" fillId="3" borderId="0" xfId="1" applyNumberFormat="1" applyFont="1" applyFill="1" applyBorder="1" applyAlignment="1">
      <alignment horizontal="center"/>
    </xf>
    <xf numFmtId="0" fontId="10" fillId="5" borderId="2" xfId="0" applyFont="1" applyFill="1" applyBorder="1"/>
    <xf numFmtId="0" fontId="10" fillId="5" borderId="4" xfId="0" applyFont="1" applyFill="1" applyBorder="1"/>
    <xf numFmtId="44" fontId="6" fillId="6" borderId="0" xfId="2" applyFont="1" applyFill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7" xfId="0" applyFont="1" applyFill="1" applyBorder="1" applyAlignment="1">
      <alignment horizontal="center"/>
    </xf>
    <xf numFmtId="0" fontId="9" fillId="5" borderId="8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 vertical="center" wrapText="1"/>
    </xf>
    <xf numFmtId="0" fontId="9" fillId="5" borderId="8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0" fontId="0" fillId="0" borderId="9" xfId="1" applyNumberFormat="1" applyFont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9526</xdr:colOff>
      <xdr:row>1</xdr:row>
      <xdr:rowOff>0</xdr:rowOff>
    </xdr:from>
    <xdr:to>
      <xdr:col>14</xdr:col>
      <xdr:colOff>1007739</xdr:colOff>
      <xdr:row>5</xdr:row>
      <xdr:rowOff>104774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190500"/>
          <a:ext cx="4620888" cy="990599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190500</xdr:colOff>
      <xdr:row>21</xdr:row>
      <xdr:rowOff>67526</xdr:rowOff>
    </xdr:from>
    <xdr:to>
      <xdr:col>19</xdr:col>
      <xdr:colOff>316906</xdr:colOff>
      <xdr:row>24</xdr:row>
      <xdr:rowOff>0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3625" y="4144226"/>
          <a:ext cx="5841406" cy="618274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Colores_Afi_2024">
  <a:themeElements>
    <a:clrScheme name="Afi_Paleta Pptx">
      <a:dk1>
        <a:srgbClr val="000000"/>
      </a:dk1>
      <a:lt1>
        <a:srgbClr val="FFFFFF"/>
      </a:lt1>
      <a:dk2>
        <a:srgbClr val="062C3F"/>
      </a:dk2>
      <a:lt2>
        <a:srgbClr val="F3F3F3"/>
      </a:lt2>
      <a:accent1>
        <a:srgbClr val="0085CA"/>
      </a:accent1>
      <a:accent2>
        <a:srgbClr val="C8DAE2"/>
      </a:accent2>
      <a:accent3>
        <a:srgbClr val="062C3F"/>
      </a:accent3>
      <a:accent4>
        <a:srgbClr val="0085CA"/>
      </a:accent4>
      <a:accent5>
        <a:srgbClr val="C8DAE2"/>
      </a:accent5>
      <a:accent6>
        <a:srgbClr val="F3F3F3"/>
      </a:accent6>
      <a:hlink>
        <a:srgbClr val="0085CA"/>
      </a:hlink>
      <a:folHlink>
        <a:srgbClr val="062C3F"/>
      </a:folHlink>
    </a:clrScheme>
    <a:fontScheme name="Afi">
      <a:majorFont>
        <a:latin typeface="Amasis MT Pro"/>
        <a:ea typeface=""/>
        <a:cs typeface=""/>
      </a:majorFont>
      <a:minorFont>
        <a:latin typeface="Amasis MT Pr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Tema_Afi_2024" id="{6B772454-601F-484F-9B93-12CDB0DD81FE}" vid="{8D9AA64B-FBED-4A4A-BCB4-18FC448ED8E1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C6:S55"/>
  <sheetViews>
    <sheetView showGridLines="0" tabSelected="1" workbookViewId="0"/>
  </sheetViews>
  <sheetFormatPr defaultColWidth="11.36328125" defaultRowHeight="14.5" x14ac:dyDescent="0.35"/>
  <cols>
    <col min="1" max="1" width="6.90625" customWidth="1"/>
    <col min="2" max="2" width="11.26953125" customWidth="1"/>
    <col min="3" max="3" width="11.7265625" bestFit="1" customWidth="1"/>
    <col min="4" max="4" width="12.81640625" bestFit="1" customWidth="1"/>
    <col min="5" max="5" width="6.90625" bestFit="1" customWidth="1"/>
    <col min="6" max="6" width="8.54296875" bestFit="1" customWidth="1"/>
    <col min="7" max="7" width="8.26953125" customWidth="1"/>
    <col min="8" max="8" width="7.26953125" bestFit="1" customWidth="1"/>
    <col min="9" max="9" width="19.1796875" bestFit="1" customWidth="1"/>
    <col min="10" max="10" width="5" bestFit="1" customWidth="1"/>
    <col min="11" max="11" width="8.54296875" customWidth="1"/>
    <col min="12" max="12" width="13.08984375" bestFit="1" customWidth="1"/>
    <col min="13" max="13" width="13.7265625" bestFit="1" customWidth="1"/>
    <col min="15" max="15" width="15.26953125" bestFit="1" customWidth="1"/>
    <col min="16" max="16" width="13.08984375" bestFit="1" customWidth="1"/>
    <col min="17" max="17" width="9.08984375" bestFit="1" customWidth="1"/>
    <col min="19" max="19" width="21.6328125" bestFit="1" customWidth="1"/>
  </cols>
  <sheetData>
    <row r="6" spans="3:19" x14ac:dyDescent="0.35">
      <c r="D6" s="2"/>
    </row>
    <row r="7" spans="3:19" ht="15" thickBot="1" x14ac:dyDescent="0.4">
      <c r="I7" s="1" t="s">
        <v>29</v>
      </c>
    </row>
    <row r="8" spans="3:19" x14ac:dyDescent="0.35">
      <c r="C8" s="41" t="s">
        <v>25</v>
      </c>
      <c r="D8" s="4">
        <v>44468</v>
      </c>
      <c r="I8" s="38"/>
      <c r="P8" t="s">
        <v>33</v>
      </c>
      <c r="Q8" s="36">
        <v>0.4</v>
      </c>
    </row>
    <row r="9" spans="3:19" ht="15" thickBot="1" x14ac:dyDescent="0.4">
      <c r="C9" s="42" t="s">
        <v>26</v>
      </c>
      <c r="D9" s="5">
        <f>3/12</f>
        <v>0.25</v>
      </c>
      <c r="I9" s="18" t="s">
        <v>28</v>
      </c>
      <c r="L9" t="s">
        <v>41</v>
      </c>
      <c r="M9" s="34">
        <v>100000</v>
      </c>
      <c r="P9" t="s">
        <v>34</v>
      </c>
      <c r="Q9" s="25"/>
    </row>
    <row r="10" spans="3:19" x14ac:dyDescent="0.35">
      <c r="I10" s="37"/>
    </row>
    <row r="11" spans="3:19" ht="15" thickBot="1" x14ac:dyDescent="0.4"/>
    <row r="12" spans="3:19" ht="15.5" thickBot="1" x14ac:dyDescent="0.45">
      <c r="D12" s="6" t="s">
        <v>0</v>
      </c>
      <c r="H12" s="44" t="s">
        <v>35</v>
      </c>
      <c r="I12" s="45"/>
      <c r="J12" s="46"/>
      <c r="L12" s="47" t="s">
        <v>36</v>
      </c>
      <c r="M12" s="48"/>
      <c r="N12" s="27"/>
      <c r="P12" s="47" t="s">
        <v>37</v>
      </c>
      <c r="Q12" s="48"/>
    </row>
    <row r="13" spans="3:19" ht="15.5" thickTop="1" thickBot="1" x14ac:dyDescent="0.4">
      <c r="F13" s="2"/>
      <c r="L13" s="19" t="s">
        <v>30</v>
      </c>
      <c r="M13" s="20" t="s">
        <v>32</v>
      </c>
      <c r="N13" s="22"/>
      <c r="P13" s="19" t="s">
        <v>30</v>
      </c>
      <c r="Q13" s="20" t="s">
        <v>32</v>
      </c>
      <c r="S13" s="22" t="s">
        <v>38</v>
      </c>
    </row>
    <row r="14" spans="3:19" ht="15" thickBot="1" x14ac:dyDescent="0.4">
      <c r="D14" s="7" t="s">
        <v>1</v>
      </c>
      <c r="E14" s="8" t="s">
        <v>2</v>
      </c>
      <c r="F14" s="9" t="s">
        <v>3</v>
      </c>
      <c r="H14" s="10" t="s">
        <v>27</v>
      </c>
      <c r="I14" s="11" t="s">
        <v>3</v>
      </c>
      <c r="J14" s="12" t="s">
        <v>31</v>
      </c>
      <c r="L14" s="43">
        <f>SUM(L17:L55)</f>
        <v>0</v>
      </c>
      <c r="M14" s="43">
        <f>SUM(M17:M55)</f>
        <v>0</v>
      </c>
      <c r="N14" s="22"/>
      <c r="O14" s="43">
        <f>SUM(O16:O54)</f>
        <v>0</v>
      </c>
      <c r="P14" s="43">
        <f>SUM(P16:P54)</f>
        <v>0</v>
      </c>
      <c r="Q14" s="43">
        <f>SUM(Q16:Q54)</f>
        <v>0</v>
      </c>
      <c r="S14" s="23">
        <f>(Q14-P14)*100000000000</f>
        <v>0</v>
      </c>
    </row>
    <row r="15" spans="3:19" ht="15.5" thickBot="1" x14ac:dyDescent="0.45">
      <c r="D15" s="39">
        <f>(fechavalor)</f>
        <v>44468</v>
      </c>
      <c r="E15" s="16">
        <v>0</v>
      </c>
      <c r="F15" s="17">
        <v>1</v>
      </c>
      <c r="H15" s="13">
        <v>0</v>
      </c>
      <c r="I15" s="51">
        <f>interpola(H15,$E$15:$F$36)</f>
        <v>1</v>
      </c>
      <c r="J15" s="24"/>
      <c r="L15" s="49" t="s">
        <v>39</v>
      </c>
      <c r="M15" s="50"/>
      <c r="N15" s="3"/>
      <c r="O15" s="3" t="s">
        <v>40</v>
      </c>
      <c r="P15" s="49" t="s">
        <v>39</v>
      </c>
      <c r="Q15" s="50"/>
    </row>
    <row r="16" spans="3:19" x14ac:dyDescent="0.35">
      <c r="C16" s="3" t="s">
        <v>4</v>
      </c>
      <c r="D16" s="32">
        <v>44497</v>
      </c>
      <c r="E16" s="30">
        <f t="shared" ref="E16:E36" si="0">YEARFRAC(fechavalor,D16)</f>
        <v>8.0555555555555561E-2</v>
      </c>
      <c r="F16" s="28">
        <v>0.99988296356438799</v>
      </c>
      <c r="H16" s="14">
        <f t="shared" ref="H16:H55" si="1">H15+deltat</f>
        <v>0.25</v>
      </c>
      <c r="I16" s="40">
        <f>interpola(H16,$E$15:$F$36,1)</f>
        <v>0.99945721448703873</v>
      </c>
      <c r="J16" s="24"/>
      <c r="L16" s="3"/>
      <c r="M16" s="3"/>
      <c r="N16" s="3"/>
      <c r="O16" s="35"/>
      <c r="P16" s="35"/>
      <c r="Q16" s="35"/>
    </row>
    <row r="17" spans="3:17" x14ac:dyDescent="0.35">
      <c r="C17" s="3" t="s">
        <v>5</v>
      </c>
      <c r="D17" s="32">
        <v>44528</v>
      </c>
      <c r="E17" s="30">
        <f t="shared" si="0"/>
        <v>0.16388888888888889</v>
      </c>
      <c r="F17" s="28">
        <v>0.99967273007856805</v>
      </c>
      <c r="H17" s="14">
        <f t="shared" si="1"/>
        <v>0.5</v>
      </c>
      <c r="I17" s="40">
        <f t="shared" ref="I17:I55" si="2">interpola(H17,$E$15:$F$36,1)</f>
        <v>0.99675805674254137</v>
      </c>
      <c r="J17" s="24"/>
      <c r="L17" s="35"/>
      <c r="M17" s="35"/>
      <c r="N17" s="21"/>
      <c r="O17" s="35"/>
      <c r="P17" s="35"/>
      <c r="Q17" s="35"/>
    </row>
    <row r="18" spans="3:17" x14ac:dyDescent="0.35">
      <c r="C18" s="3" t="s">
        <v>6</v>
      </c>
      <c r="D18" s="32">
        <v>44558</v>
      </c>
      <c r="E18" s="30">
        <f t="shared" si="0"/>
        <v>0.24722222222222223</v>
      </c>
      <c r="F18" s="28">
        <v>0.99950235222720996</v>
      </c>
      <c r="H18" s="14">
        <f t="shared" si="1"/>
        <v>0.75</v>
      </c>
      <c r="I18" s="40">
        <f t="shared" si="2"/>
        <v>0.9930989474613322</v>
      </c>
      <c r="J18" s="24"/>
      <c r="L18" s="35"/>
      <c r="M18" s="35"/>
      <c r="N18" s="21"/>
      <c r="O18" s="35"/>
      <c r="P18" s="35"/>
      <c r="Q18" s="35"/>
    </row>
    <row r="19" spans="3:17" x14ac:dyDescent="0.35">
      <c r="C19" s="3" t="s">
        <v>7</v>
      </c>
      <c r="D19" s="32">
        <v>44589</v>
      </c>
      <c r="E19" s="30">
        <f t="shared" si="0"/>
        <v>0.33055555555555555</v>
      </c>
      <c r="F19" s="28">
        <v>0.99814822002207204</v>
      </c>
      <c r="H19" s="14">
        <f t="shared" si="1"/>
        <v>1</v>
      </c>
      <c r="I19" s="40">
        <f t="shared" si="2"/>
        <v>0.99012842061243933</v>
      </c>
      <c r="J19" s="24"/>
      <c r="L19" s="35"/>
      <c r="M19" s="35"/>
      <c r="N19" s="21"/>
      <c r="O19" s="35"/>
      <c r="P19" s="35"/>
      <c r="Q19" s="35"/>
    </row>
    <row r="20" spans="3:17" x14ac:dyDescent="0.35">
      <c r="C20" s="3" t="s">
        <v>8</v>
      </c>
      <c r="D20" s="32">
        <v>44619</v>
      </c>
      <c r="E20" s="30">
        <f t="shared" si="0"/>
        <v>0.41111111111111109</v>
      </c>
      <c r="F20" s="28">
        <v>0.99723759959147995</v>
      </c>
      <c r="H20" s="14">
        <f t="shared" si="1"/>
        <v>1.25</v>
      </c>
      <c r="I20" s="40">
        <f t="shared" si="2"/>
        <v>0.9872178079981484</v>
      </c>
      <c r="J20" s="24"/>
      <c r="L20" s="35"/>
      <c r="M20" s="35"/>
      <c r="N20" s="21"/>
      <c r="O20" s="35"/>
      <c r="P20" s="35"/>
      <c r="Q20" s="35"/>
    </row>
    <row r="21" spans="3:17" x14ac:dyDescent="0.35">
      <c r="C21" s="3" t="s">
        <v>9</v>
      </c>
      <c r="D21" s="32">
        <v>44650</v>
      </c>
      <c r="E21" s="30">
        <f t="shared" si="0"/>
        <v>0.50277777777777777</v>
      </c>
      <c r="F21" s="28">
        <v>0.99674307102851201</v>
      </c>
      <c r="H21" s="14">
        <f t="shared" si="1"/>
        <v>1.5</v>
      </c>
      <c r="I21" s="40">
        <f t="shared" si="2"/>
        <v>0.98430801002541291</v>
      </c>
      <c r="J21" s="24"/>
      <c r="L21" s="35"/>
      <c r="M21" s="35"/>
      <c r="N21" s="21"/>
      <c r="O21" s="35"/>
      <c r="P21" s="35"/>
      <c r="Q21" s="35"/>
    </row>
    <row r="22" spans="3:17" x14ac:dyDescent="0.35">
      <c r="C22" s="3" t="s">
        <v>10</v>
      </c>
      <c r="D22" s="32">
        <v>44681</v>
      </c>
      <c r="E22" s="30">
        <f t="shared" si="0"/>
        <v>0.58611111111111114</v>
      </c>
      <c r="F22" s="28">
        <v>0.99487924526309801</v>
      </c>
      <c r="H22" s="14">
        <f t="shared" si="1"/>
        <v>1.75</v>
      </c>
      <c r="I22" s="40">
        <f t="shared" si="2"/>
        <v>0.98139821205267741</v>
      </c>
      <c r="J22" s="24"/>
      <c r="L22" s="35"/>
      <c r="M22" s="35"/>
      <c r="N22" s="21"/>
      <c r="O22" s="35"/>
      <c r="P22" s="35"/>
      <c r="Q22" s="35"/>
    </row>
    <row r="23" spans="3:17" x14ac:dyDescent="0.35">
      <c r="C23" s="3" t="s">
        <v>11</v>
      </c>
      <c r="D23" s="32">
        <v>44711</v>
      </c>
      <c r="E23" s="30">
        <f t="shared" si="0"/>
        <v>0.6694444444444444</v>
      </c>
      <c r="F23" s="28">
        <v>0.99406438981562195</v>
      </c>
      <c r="H23" s="14">
        <f t="shared" si="1"/>
        <v>2</v>
      </c>
      <c r="I23" s="40">
        <f t="shared" si="2"/>
        <v>0.97848841407994191</v>
      </c>
      <c r="J23" s="24"/>
      <c r="L23" s="35"/>
      <c r="M23" s="35"/>
      <c r="N23" s="21"/>
      <c r="O23" s="35"/>
      <c r="P23" s="35"/>
      <c r="Q23" s="35"/>
    </row>
    <row r="24" spans="3:17" x14ac:dyDescent="0.35">
      <c r="C24" s="3" t="s">
        <v>12</v>
      </c>
      <c r="D24" s="32">
        <v>44742</v>
      </c>
      <c r="E24" s="30">
        <f t="shared" si="0"/>
        <v>0.75277777777777777</v>
      </c>
      <c r="F24" s="28">
        <v>0.99306565634566701</v>
      </c>
      <c r="H24" s="14">
        <f t="shared" si="1"/>
        <v>2.25</v>
      </c>
      <c r="I24" s="40">
        <f t="shared" si="2"/>
        <v>0.97532435475775991</v>
      </c>
      <c r="J24" s="24"/>
      <c r="L24" s="35"/>
      <c r="M24" s="35"/>
      <c r="N24" s="21"/>
      <c r="O24" s="35"/>
      <c r="P24" s="35"/>
      <c r="Q24" s="35"/>
    </row>
    <row r="25" spans="3:17" x14ac:dyDescent="0.35">
      <c r="C25" s="3" t="s">
        <v>13</v>
      </c>
      <c r="D25" s="32">
        <v>44772</v>
      </c>
      <c r="E25" s="30">
        <f t="shared" si="0"/>
        <v>0.83611111111111114</v>
      </c>
      <c r="F25" s="28">
        <v>0.99211950551273398</v>
      </c>
      <c r="H25" s="14">
        <f t="shared" si="1"/>
        <v>2.5</v>
      </c>
      <c r="I25" s="40">
        <f t="shared" si="2"/>
        <v>0.97215743856648296</v>
      </c>
      <c r="J25" s="24"/>
      <c r="L25" s="35"/>
      <c r="M25" s="35"/>
      <c r="N25" s="21"/>
      <c r="O25" s="35"/>
      <c r="P25" s="35"/>
      <c r="Q25" s="35"/>
    </row>
    <row r="26" spans="3:17" x14ac:dyDescent="0.35">
      <c r="C26" s="3" t="s">
        <v>14</v>
      </c>
      <c r="D26" s="32">
        <v>44803</v>
      </c>
      <c r="E26" s="30">
        <f t="shared" si="0"/>
        <v>0.9194444444444444</v>
      </c>
      <c r="F26" s="28">
        <v>0.99108964678653799</v>
      </c>
      <c r="H26" s="14">
        <f t="shared" si="1"/>
        <v>2.75</v>
      </c>
      <c r="I26" s="40">
        <f t="shared" si="2"/>
        <v>0.968990522375206</v>
      </c>
      <c r="J26" s="24"/>
      <c r="L26" s="35"/>
      <c r="M26" s="35"/>
      <c r="N26" s="21"/>
      <c r="O26" s="35"/>
      <c r="P26" s="35"/>
      <c r="Q26" s="35"/>
    </row>
    <row r="27" spans="3:17" x14ac:dyDescent="0.35">
      <c r="C27" s="3" t="s">
        <v>15</v>
      </c>
      <c r="D27" s="32">
        <v>44834</v>
      </c>
      <c r="E27" s="30">
        <f t="shared" si="0"/>
        <v>1.0027777777777778</v>
      </c>
      <c r="F27" s="28">
        <v>0.99009527488229798</v>
      </c>
      <c r="H27" s="14">
        <f t="shared" si="1"/>
        <v>3</v>
      </c>
      <c r="I27" s="40">
        <f t="shared" si="2"/>
        <v>0.96582360618392904</v>
      </c>
      <c r="J27" s="24"/>
      <c r="L27" s="35"/>
      <c r="M27" s="35"/>
      <c r="N27" s="21"/>
      <c r="O27" s="35"/>
      <c r="P27" s="35"/>
      <c r="Q27" s="35"/>
    </row>
    <row r="28" spans="3:17" x14ac:dyDescent="0.35">
      <c r="C28" s="3" t="s">
        <v>16</v>
      </c>
      <c r="D28" s="32">
        <v>45199</v>
      </c>
      <c r="E28" s="30">
        <f t="shared" si="0"/>
        <v>2.0027777777777778</v>
      </c>
      <c r="F28" s="28">
        <v>0.978456082991356</v>
      </c>
      <c r="H28" s="14">
        <f t="shared" si="1"/>
        <v>3.25</v>
      </c>
      <c r="I28" s="40">
        <f t="shared" si="2"/>
        <v>0.95983757364601496</v>
      </c>
      <c r="J28" s="24"/>
      <c r="L28" s="35"/>
      <c r="M28" s="35"/>
      <c r="N28" s="21"/>
      <c r="O28" s="35"/>
      <c r="P28" s="35"/>
      <c r="Q28" s="35"/>
    </row>
    <row r="29" spans="3:17" x14ac:dyDescent="0.35">
      <c r="C29" s="3" t="s">
        <v>17</v>
      </c>
      <c r="D29" s="32">
        <v>45564</v>
      </c>
      <c r="E29" s="30">
        <f t="shared" si="0"/>
        <v>3</v>
      </c>
      <c r="F29" s="28">
        <v>0.96582360618392904</v>
      </c>
      <c r="H29" s="14">
        <f t="shared" si="1"/>
        <v>3.5</v>
      </c>
      <c r="I29" s="40">
        <f t="shared" si="2"/>
        <v>0.953851541108101</v>
      </c>
      <c r="J29" s="24"/>
      <c r="L29" s="35"/>
      <c r="M29" s="35"/>
      <c r="N29" s="21"/>
      <c r="O29" s="35"/>
      <c r="P29" s="35"/>
      <c r="Q29" s="35"/>
    </row>
    <row r="30" spans="3:17" x14ac:dyDescent="0.35">
      <c r="C30" s="3" t="s">
        <v>18</v>
      </c>
      <c r="D30" s="32">
        <v>45929</v>
      </c>
      <c r="E30" s="30">
        <f t="shared" si="0"/>
        <v>4</v>
      </c>
      <c r="F30" s="28">
        <v>0.94187947603227296</v>
      </c>
      <c r="H30" s="14">
        <f t="shared" si="1"/>
        <v>3.75</v>
      </c>
      <c r="I30" s="40">
        <f t="shared" si="2"/>
        <v>0.94786550857018703</v>
      </c>
      <c r="J30" s="24"/>
      <c r="L30" s="35"/>
      <c r="M30" s="35"/>
      <c r="N30" s="21"/>
      <c r="O30" s="35"/>
      <c r="P30" s="35"/>
      <c r="Q30" s="35"/>
    </row>
    <row r="31" spans="3:17" x14ac:dyDescent="0.35">
      <c r="C31" s="3" t="s">
        <v>19</v>
      </c>
      <c r="D31" s="32">
        <v>46295</v>
      </c>
      <c r="E31" s="30">
        <f t="shared" si="0"/>
        <v>5.0027777777777782</v>
      </c>
      <c r="F31" s="28">
        <v>0.92749202823460397</v>
      </c>
      <c r="H31" s="14">
        <f t="shared" si="1"/>
        <v>4</v>
      </c>
      <c r="I31" s="40">
        <f t="shared" si="2"/>
        <v>0.94187947603227296</v>
      </c>
      <c r="J31" s="24"/>
      <c r="L31" s="35"/>
      <c r="M31" s="35"/>
      <c r="N31" s="21"/>
      <c r="O31" s="35"/>
      <c r="P31" s="35"/>
      <c r="Q31" s="35"/>
    </row>
    <row r="32" spans="3:17" x14ac:dyDescent="0.35">
      <c r="C32" s="3" t="s">
        <v>20</v>
      </c>
      <c r="D32" s="32">
        <v>46660</v>
      </c>
      <c r="E32" s="30">
        <f t="shared" si="0"/>
        <v>6.0027777777777782</v>
      </c>
      <c r="F32" s="28">
        <v>0.89396529055654905</v>
      </c>
      <c r="H32" s="14">
        <f t="shared" si="1"/>
        <v>4.25</v>
      </c>
      <c r="I32" s="40">
        <f t="shared" si="2"/>
        <v>0.9382925776893638</v>
      </c>
      <c r="J32" s="24"/>
      <c r="L32" s="35"/>
      <c r="M32" s="35"/>
      <c r="N32" s="21"/>
      <c r="O32" s="35"/>
      <c r="P32" s="35"/>
      <c r="Q32" s="35"/>
    </row>
    <row r="33" spans="3:17" x14ac:dyDescent="0.35">
      <c r="C33" s="3" t="s">
        <v>21</v>
      </c>
      <c r="D33" s="32">
        <v>47025</v>
      </c>
      <c r="E33" s="30">
        <f t="shared" si="0"/>
        <v>7</v>
      </c>
      <c r="F33" s="28">
        <v>0.86300749846754499</v>
      </c>
      <c r="H33" s="14">
        <f t="shared" si="1"/>
        <v>4.5</v>
      </c>
      <c r="I33" s="40">
        <f t="shared" si="2"/>
        <v>0.93470567934645465</v>
      </c>
      <c r="J33" s="24"/>
      <c r="L33" s="35"/>
      <c r="M33" s="35"/>
      <c r="N33" s="21"/>
      <c r="O33" s="35"/>
      <c r="P33" s="35"/>
      <c r="Q33" s="35"/>
    </row>
    <row r="34" spans="3:17" x14ac:dyDescent="0.35">
      <c r="C34" s="3" t="s">
        <v>22</v>
      </c>
      <c r="D34" s="32">
        <v>47390</v>
      </c>
      <c r="E34" s="30">
        <f t="shared" si="0"/>
        <v>8</v>
      </c>
      <c r="F34" s="28">
        <v>0.83446703294463098</v>
      </c>
      <c r="H34" s="14">
        <f t="shared" si="1"/>
        <v>4.75</v>
      </c>
      <c r="I34" s="40">
        <f t="shared" si="2"/>
        <v>0.9311187810035455</v>
      </c>
      <c r="J34" s="24"/>
      <c r="L34" s="35"/>
      <c r="M34" s="35"/>
      <c r="N34" s="21"/>
      <c r="O34" s="35"/>
      <c r="P34" s="35"/>
      <c r="Q34" s="35"/>
    </row>
    <row r="35" spans="3:17" x14ac:dyDescent="0.35">
      <c r="C35" s="3" t="s">
        <v>23</v>
      </c>
      <c r="D35" s="32">
        <v>47756</v>
      </c>
      <c r="E35" s="30">
        <f t="shared" si="0"/>
        <v>9.0027777777777782</v>
      </c>
      <c r="F35" s="28">
        <v>0.80810486467052001</v>
      </c>
      <c r="H35" s="14">
        <f t="shared" si="1"/>
        <v>5</v>
      </c>
      <c r="I35" s="40">
        <f t="shared" si="2"/>
        <v>0.92753188266063635</v>
      </c>
      <c r="J35" s="24"/>
      <c r="L35" s="35"/>
      <c r="M35" s="35"/>
      <c r="N35" s="21"/>
      <c r="O35" s="35"/>
      <c r="P35" s="35"/>
      <c r="Q35" s="35"/>
    </row>
    <row r="36" spans="3:17" ht="15" thickBot="1" x14ac:dyDescent="0.4">
      <c r="C36" s="3" t="s">
        <v>24</v>
      </c>
      <c r="D36" s="33">
        <v>48121</v>
      </c>
      <c r="E36" s="31">
        <f t="shared" si="0"/>
        <v>10.002777777777778</v>
      </c>
      <c r="F36" s="29">
        <v>0.78398514834605204</v>
      </c>
      <c r="H36" s="14">
        <f t="shared" si="1"/>
        <v>5.25</v>
      </c>
      <c r="I36" s="40">
        <f t="shared" si="2"/>
        <v>0.91920347364197375</v>
      </c>
      <c r="J36" s="24"/>
      <c r="L36" s="35"/>
      <c r="M36" s="35"/>
      <c r="N36" s="21"/>
      <c r="O36" s="35"/>
      <c r="P36" s="35"/>
      <c r="Q36" s="35"/>
    </row>
    <row r="37" spans="3:17" x14ac:dyDescent="0.35">
      <c r="H37" s="14">
        <f t="shared" si="1"/>
        <v>5.5</v>
      </c>
      <c r="I37" s="40">
        <f t="shared" si="2"/>
        <v>0.91082178922246004</v>
      </c>
      <c r="J37" s="24"/>
      <c r="L37" s="35"/>
      <c r="M37" s="35"/>
      <c r="N37" s="21"/>
      <c r="O37" s="35"/>
      <c r="P37" s="35"/>
      <c r="Q37" s="35"/>
    </row>
    <row r="38" spans="3:17" x14ac:dyDescent="0.35">
      <c r="H38" s="14">
        <f t="shared" si="1"/>
        <v>5.75</v>
      </c>
      <c r="I38" s="40">
        <f t="shared" si="2"/>
        <v>0.90244010480294623</v>
      </c>
      <c r="J38" s="24"/>
      <c r="L38" s="35"/>
      <c r="M38" s="35"/>
      <c r="N38" s="21"/>
      <c r="O38" s="35"/>
      <c r="P38" s="35"/>
      <c r="Q38" s="35"/>
    </row>
    <row r="39" spans="3:17" x14ac:dyDescent="0.35">
      <c r="H39" s="14">
        <f t="shared" si="1"/>
        <v>6</v>
      </c>
      <c r="I39" s="40">
        <f t="shared" si="2"/>
        <v>0.89405842038343253</v>
      </c>
      <c r="J39" s="24"/>
      <c r="L39" s="35"/>
      <c r="M39" s="35"/>
      <c r="N39" s="21"/>
      <c r="O39" s="35"/>
      <c r="P39" s="35"/>
      <c r="Q39" s="35"/>
    </row>
    <row r="40" spans="3:17" x14ac:dyDescent="0.35">
      <c r="H40" s="14">
        <f t="shared" si="1"/>
        <v>6.25</v>
      </c>
      <c r="I40" s="40">
        <f t="shared" si="2"/>
        <v>0.88629051758740873</v>
      </c>
      <c r="J40" s="24"/>
      <c r="L40" s="35"/>
      <c r="M40" s="35"/>
      <c r="N40" s="21"/>
      <c r="O40" s="35"/>
      <c r="P40" s="35"/>
      <c r="Q40" s="35"/>
    </row>
    <row r="41" spans="3:17" x14ac:dyDescent="0.35">
      <c r="H41" s="14">
        <f t="shared" si="1"/>
        <v>6.5</v>
      </c>
      <c r="I41" s="40">
        <f t="shared" si="2"/>
        <v>0.87852951121412082</v>
      </c>
      <c r="J41" s="24"/>
      <c r="L41" s="35"/>
      <c r="M41" s="35"/>
      <c r="N41" s="21"/>
      <c r="O41" s="35"/>
      <c r="P41" s="35"/>
      <c r="Q41" s="35"/>
    </row>
    <row r="42" spans="3:17" x14ac:dyDescent="0.35">
      <c r="H42" s="14">
        <f t="shared" si="1"/>
        <v>6.75</v>
      </c>
      <c r="I42" s="40">
        <f t="shared" si="2"/>
        <v>0.8707685048408329</v>
      </c>
      <c r="J42" s="24"/>
      <c r="L42" s="35"/>
      <c r="M42" s="35"/>
      <c r="N42" s="21"/>
      <c r="O42" s="35"/>
      <c r="P42" s="35"/>
      <c r="Q42" s="35"/>
    </row>
    <row r="43" spans="3:17" x14ac:dyDescent="0.35">
      <c r="H43" s="14">
        <f t="shared" si="1"/>
        <v>7</v>
      </c>
      <c r="I43" s="40">
        <f t="shared" si="2"/>
        <v>0.86300749846754499</v>
      </c>
      <c r="J43" s="24"/>
      <c r="L43" s="35"/>
      <c r="M43" s="35"/>
      <c r="N43" s="21"/>
      <c r="O43" s="35"/>
      <c r="P43" s="35"/>
      <c r="Q43" s="35"/>
    </row>
    <row r="44" spans="3:17" x14ac:dyDescent="0.35">
      <c r="H44" s="14">
        <f t="shared" si="1"/>
        <v>7.25</v>
      </c>
      <c r="I44" s="40">
        <f t="shared" si="2"/>
        <v>0.85587238208681649</v>
      </c>
      <c r="J44" s="24"/>
      <c r="L44" s="35"/>
      <c r="M44" s="35"/>
      <c r="N44" s="21"/>
      <c r="O44" s="35"/>
      <c r="P44" s="35"/>
      <c r="Q44" s="35"/>
    </row>
    <row r="45" spans="3:17" x14ac:dyDescent="0.35">
      <c r="H45" s="14">
        <f t="shared" si="1"/>
        <v>7.5</v>
      </c>
      <c r="I45" s="40">
        <f t="shared" si="2"/>
        <v>0.84873726570608798</v>
      </c>
      <c r="J45" s="24"/>
      <c r="L45" s="35"/>
      <c r="M45" s="35"/>
      <c r="N45" s="21"/>
      <c r="O45" s="35"/>
      <c r="P45" s="35"/>
      <c r="Q45" s="35"/>
    </row>
    <row r="46" spans="3:17" x14ac:dyDescent="0.35">
      <c r="H46" s="14">
        <f t="shared" si="1"/>
        <v>7.75</v>
      </c>
      <c r="I46" s="40">
        <f t="shared" si="2"/>
        <v>0.84160214932535948</v>
      </c>
      <c r="J46" s="24"/>
      <c r="L46" s="35"/>
      <c r="M46" s="35"/>
      <c r="N46" s="21"/>
      <c r="O46" s="35"/>
      <c r="P46" s="35"/>
      <c r="Q46" s="35"/>
    </row>
    <row r="47" spans="3:17" x14ac:dyDescent="0.35">
      <c r="H47" s="14">
        <f t="shared" si="1"/>
        <v>8</v>
      </c>
      <c r="I47" s="40">
        <f t="shared" si="2"/>
        <v>0.83446703294463098</v>
      </c>
      <c r="J47" s="24"/>
      <c r="L47" s="35"/>
      <c r="M47" s="35"/>
      <c r="N47" s="21"/>
      <c r="O47" s="35"/>
      <c r="P47" s="35"/>
      <c r="Q47" s="35"/>
    </row>
    <row r="48" spans="3:17" x14ac:dyDescent="0.35">
      <c r="H48" s="14">
        <f t="shared" si="1"/>
        <v>8.25</v>
      </c>
      <c r="I48" s="40">
        <f t="shared" si="2"/>
        <v>0.82789474722532352</v>
      </c>
      <c r="J48" s="24"/>
      <c r="L48" s="35"/>
      <c r="M48" s="35"/>
      <c r="N48" s="21"/>
      <c r="O48" s="35"/>
      <c r="P48" s="35"/>
      <c r="Q48" s="35"/>
    </row>
    <row r="49" spans="8:17" x14ac:dyDescent="0.35">
      <c r="H49" s="14">
        <f t="shared" si="1"/>
        <v>8.5</v>
      </c>
      <c r="I49" s="40">
        <f t="shared" si="2"/>
        <v>0.82132246150601607</v>
      </c>
      <c r="J49" s="24"/>
      <c r="L49" s="35"/>
      <c r="M49" s="35"/>
      <c r="N49" s="21"/>
      <c r="O49" s="35"/>
      <c r="P49" s="35"/>
      <c r="Q49" s="35"/>
    </row>
    <row r="50" spans="8:17" x14ac:dyDescent="0.35">
      <c r="H50" s="14">
        <f t="shared" si="1"/>
        <v>8.75</v>
      </c>
      <c r="I50" s="40">
        <f t="shared" si="2"/>
        <v>0.81475017578670861</v>
      </c>
      <c r="J50" s="24"/>
      <c r="L50" s="35"/>
      <c r="M50" s="35"/>
      <c r="N50" s="21"/>
      <c r="O50" s="35"/>
      <c r="P50" s="35"/>
      <c r="Q50" s="35"/>
    </row>
    <row r="51" spans="8:17" x14ac:dyDescent="0.35">
      <c r="H51" s="14">
        <f t="shared" si="1"/>
        <v>9</v>
      </c>
      <c r="I51" s="40">
        <f t="shared" si="2"/>
        <v>0.80817789006740126</v>
      </c>
      <c r="J51" s="24"/>
      <c r="L51" s="35"/>
      <c r="M51" s="35"/>
      <c r="N51" s="21"/>
      <c r="O51" s="35"/>
      <c r="P51" s="35"/>
      <c r="Q51" s="35"/>
    </row>
    <row r="52" spans="8:17" x14ac:dyDescent="0.35">
      <c r="H52" s="14">
        <f t="shared" si="1"/>
        <v>9.25</v>
      </c>
      <c r="I52" s="40">
        <f t="shared" si="2"/>
        <v>0.80214193480141549</v>
      </c>
      <c r="J52" s="24"/>
      <c r="L52" s="35"/>
      <c r="M52" s="35"/>
      <c r="N52" s="21"/>
      <c r="O52" s="35"/>
      <c r="P52" s="35"/>
      <c r="Q52" s="35"/>
    </row>
    <row r="53" spans="8:17" x14ac:dyDescent="0.35">
      <c r="H53" s="14">
        <f t="shared" si="1"/>
        <v>9.5</v>
      </c>
      <c r="I53" s="40">
        <f t="shared" si="2"/>
        <v>0.7961120057202985</v>
      </c>
      <c r="J53" s="24"/>
      <c r="L53" s="35"/>
      <c r="M53" s="35"/>
      <c r="N53" s="21"/>
      <c r="O53" s="35"/>
      <c r="P53" s="35"/>
      <c r="Q53" s="35"/>
    </row>
    <row r="54" spans="8:17" x14ac:dyDescent="0.35">
      <c r="H54" s="14">
        <f t="shared" si="1"/>
        <v>9.75</v>
      </c>
      <c r="I54" s="40">
        <f t="shared" si="2"/>
        <v>0.79008207663918151</v>
      </c>
      <c r="J54" s="24"/>
      <c r="L54" s="35"/>
      <c r="M54" s="35"/>
      <c r="N54" s="21"/>
      <c r="O54" s="35"/>
      <c r="P54" s="35"/>
      <c r="Q54" s="35"/>
    </row>
    <row r="55" spans="8:17" ht="15" thickBot="1" x14ac:dyDescent="0.4">
      <c r="H55" s="15">
        <f t="shared" si="1"/>
        <v>10</v>
      </c>
      <c r="I55" s="40">
        <f t="shared" si="2"/>
        <v>0.78405214755806452</v>
      </c>
      <c r="L55" s="35"/>
      <c r="M55" s="35"/>
      <c r="N55" s="21"/>
      <c r="O55" s="26"/>
    </row>
  </sheetData>
  <mergeCells count="5">
    <mergeCell ref="H12:J12"/>
    <mergeCell ref="L12:M12"/>
    <mergeCell ref="P12:Q12"/>
    <mergeCell ref="L15:M15"/>
    <mergeCell ref="P15:Q1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Hoja1</vt:lpstr>
      <vt:lpstr>deltat</vt:lpstr>
      <vt:lpstr>fechavalor</vt:lpstr>
      <vt:lpstr>Nom</vt:lpstr>
      <vt:lpstr>spread</vt:lpstr>
      <vt:lpstr>vola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</dc:creator>
  <cp:lastModifiedBy>José Javier Calderón Coronado</cp:lastModifiedBy>
  <dcterms:created xsi:type="dcterms:W3CDTF">2010-02-26T22:22:49Z</dcterms:created>
  <dcterms:modified xsi:type="dcterms:W3CDTF">2025-04-03T11:07:33Z</dcterms:modified>
</cp:coreProperties>
</file>