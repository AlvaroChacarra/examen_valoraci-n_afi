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2025_04_Valoracion_MFC\Valoración\Documentación\2. Marco Black. Tipos\2. Valoración. Marco Black. Tipos. Ejercicios\"/>
    </mc:Choice>
  </mc:AlternateContent>
  <xr:revisionPtr revIDLastSave="0" documentId="13_ncr:1_{9D67A1B5-5F53-4234-A858-2CE3706E5905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Hoja1" sheetId="1" r:id="rId1"/>
  </sheets>
  <functionGroups builtInGroupCount="19"/>
  <definedNames>
    <definedName name="deltat">Hoja1!$D$9</definedName>
    <definedName name="fechavalor">Hoja1!$D$8</definedName>
    <definedName name="Nom">Hoja1!#REF!</definedName>
    <definedName name="solver_adj" localSheetId="0" hidden="1">Hoja1!#REF!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Hoja1!#REF!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spread">Hoja1!#REF!</definedName>
    <definedName name="vola">Hoja1!#REF!</definedName>
  </definedNames>
  <calcPr calcId="191029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5" i="1" l="1"/>
  <c r="E36" i="1" l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H16" i="1" l="1"/>
  <c r="N15" i="1" s="1"/>
  <c r="I15" i="1"/>
  <c r="I16" i="1"/>
  <c r="H17" i="1" l="1"/>
  <c r="I17" i="1"/>
  <c r="J16" i="1" l="1"/>
  <c r="H18" i="1"/>
  <c r="I18" i="1"/>
  <c r="J17" i="1" l="1"/>
  <c r="H19" i="1"/>
  <c r="I19" i="1"/>
  <c r="J18" i="1" l="1"/>
  <c r="H20" i="1"/>
  <c r="I20" i="1"/>
  <c r="J19" i="1" l="1"/>
  <c r="H21" i="1"/>
  <c r="I21" i="1"/>
  <c r="J20" i="1" l="1"/>
  <c r="H22" i="1"/>
  <c r="I22" i="1"/>
  <c r="J21" i="1" l="1"/>
  <c r="H23" i="1"/>
  <c r="I23" i="1"/>
  <c r="J22" i="1" l="1"/>
  <c r="H24" i="1"/>
  <c r="I24" i="1"/>
  <c r="J23" i="1" l="1"/>
  <c r="H25" i="1"/>
  <c r="I25" i="1"/>
  <c r="J24" i="1" l="1"/>
  <c r="H26" i="1"/>
  <c r="I26" i="1"/>
  <c r="J25" i="1" l="1"/>
  <c r="H27" i="1"/>
  <c r="I27" i="1"/>
  <c r="J26" i="1" l="1"/>
  <c r="H28" i="1"/>
  <c r="I28" i="1"/>
  <c r="J27" i="1" l="1"/>
  <c r="H29" i="1"/>
  <c r="I29" i="1"/>
  <c r="J28" i="1" l="1"/>
  <c r="H30" i="1"/>
  <c r="I30" i="1"/>
  <c r="J29" i="1" l="1"/>
  <c r="H31" i="1"/>
  <c r="I31" i="1"/>
  <c r="J30" i="1" l="1"/>
  <c r="H32" i="1"/>
  <c r="I32" i="1"/>
  <c r="J31" i="1" l="1"/>
  <c r="H33" i="1"/>
  <c r="I33" i="1"/>
  <c r="J32" i="1" l="1"/>
  <c r="H34" i="1"/>
  <c r="I34" i="1"/>
  <c r="J33" i="1" l="1"/>
  <c r="H35" i="1"/>
  <c r="I35" i="1"/>
  <c r="J34" i="1" l="1"/>
  <c r="H36" i="1"/>
  <c r="I36" i="1"/>
  <c r="J35" i="1" l="1"/>
  <c r="H37" i="1"/>
  <c r="I37" i="1"/>
  <c r="J36" i="1" l="1"/>
  <c r="H38" i="1"/>
  <c r="I38" i="1"/>
  <c r="J37" i="1" l="1"/>
  <c r="H39" i="1"/>
  <c r="I39" i="1"/>
  <c r="J38" i="1" l="1"/>
  <c r="H40" i="1"/>
  <c r="I40" i="1"/>
  <c r="J39" i="1" l="1"/>
  <c r="H41" i="1"/>
  <c r="I41" i="1"/>
  <c r="J40" i="1" l="1"/>
  <c r="H42" i="1"/>
  <c r="I42" i="1"/>
  <c r="J41" i="1" l="1"/>
  <c r="H43" i="1"/>
  <c r="I43" i="1"/>
  <c r="J42" i="1" l="1"/>
  <c r="H44" i="1"/>
  <c r="I44" i="1"/>
  <c r="J43" i="1" l="1"/>
  <c r="H45" i="1"/>
  <c r="I45" i="1"/>
  <c r="J44" i="1" l="1"/>
  <c r="H46" i="1"/>
  <c r="I46" i="1"/>
  <c r="J45" i="1" l="1"/>
  <c r="H47" i="1"/>
  <c r="I47" i="1"/>
  <c r="J46" i="1" l="1"/>
  <c r="H48" i="1"/>
  <c r="I48" i="1"/>
  <c r="J47" i="1" l="1"/>
  <c r="H49" i="1"/>
  <c r="I49" i="1"/>
  <c r="J48" i="1" l="1"/>
  <c r="H50" i="1"/>
  <c r="I50" i="1"/>
  <c r="J49" i="1" l="1"/>
  <c r="H51" i="1"/>
  <c r="I51" i="1"/>
  <c r="J50" i="1" l="1"/>
  <c r="H52" i="1"/>
  <c r="I52" i="1"/>
  <c r="J51" i="1" l="1"/>
  <c r="H53" i="1"/>
  <c r="I53" i="1"/>
  <c r="J52" i="1" l="1"/>
  <c r="H54" i="1"/>
  <c r="I54" i="1"/>
  <c r="J53" i="1" l="1"/>
  <c r="H55" i="1"/>
  <c r="I55" i="1"/>
  <c r="I8" i="1" l="1"/>
  <c r="I10" i="1" s="1"/>
  <c r="J54" i="1"/>
</calcChain>
</file>

<file path=xl/sharedStrings.xml><?xml version="1.0" encoding="utf-8"?>
<sst xmlns="http://schemas.openxmlformats.org/spreadsheetml/2006/main" count="46" uniqueCount="45">
  <si>
    <t>datos ccc</t>
  </si>
  <si>
    <t>fecha</t>
  </si>
  <si>
    <t>plazo</t>
  </si>
  <si>
    <t>FD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</si>
  <si>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</si>
  <si>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</si>
  <si>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</si>
  <si>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</si>
  <si>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</si>
  <si>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</si>
  <si>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</si>
  <si>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</si>
  <si>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</si>
  <si>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</si>
  <si>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</si>
  <si>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</si>
  <si>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2A</t>
  </si>
  <si>
    <t>3A</t>
  </si>
  <si>
    <t>4A</t>
  </si>
  <si>
    <t>5A</t>
  </si>
  <si>
    <t>6A</t>
  </si>
  <si>
    <t>7A</t>
  </si>
  <si>
    <t>8A</t>
  </si>
  <si>
    <t>9A</t>
  </si>
  <si>
    <t>10A</t>
  </si>
  <si>
    <t>fecha valor</t>
  </si>
  <si>
    <t>deltat</t>
  </si>
  <si>
    <t>plazos</t>
  </si>
  <si>
    <t>tipo fwd -swap hoy</t>
  </si>
  <si>
    <t>anualidad</t>
  </si>
  <si>
    <t>fwd</t>
  </si>
  <si>
    <t>vola</t>
  </si>
  <si>
    <t>interpolación de descuentos</t>
  </si>
  <si>
    <t>Nominal</t>
  </si>
  <si>
    <t>Valoración de swaption payer (call)</t>
  </si>
  <si>
    <t>t0</t>
  </si>
  <si>
    <t>strike</t>
  </si>
  <si>
    <t>moneyness</t>
  </si>
  <si>
    <t>vola acum</t>
  </si>
  <si>
    <t>d+</t>
  </si>
  <si>
    <t>d-</t>
  </si>
  <si>
    <t>Phi(d+)</t>
  </si>
  <si>
    <t>Phi(d-)</t>
  </si>
  <si>
    <t>precio</t>
  </si>
  <si>
    <t>por integración numérica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</si>
</sst>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00"/>
    <numFmt numFmtId="165" formatCode="0.000%"/>
    <numFmt numFmtId="166" formatCode="0.0000%"/>
    <numFmt numFmtId="167" formatCode="_-* #,##0.0000\ &quot;€&quot;_-;\-* #,##0.0000\ &quot;€&quot;_-;_-* &quot;-&quot;????\ &quot;€&quot;_-;_-@_-"/>
    <numFmt numFmtId="168" formatCode="0.00000%"/>
    <numFmt numFmtId="169" formatCode="_-* #,##0.00000\ &quot;€&quot;_-;\-* #,##0.00000\ &quot;€&quot;_-;_-* &quot;-&quot;?????\ &quot;€&quot;_-;_-@_-"/>
  </numFmts>
  <fonts count="9" x14ac:knownFonts="1">
    <font>
      <sz val="11"/>
      <color theme="1"/>
      <name val="Amasis MT Pro"/>
      <family val="2"/>
      <scheme val="minor"/>
    </font>
    <font>
      <sz val="11"/>
      <color theme="1"/>
      <name val="Amasis MT Pro"/>
      <family val="2"/>
      <scheme val="minor"/>
    </font>
    <font>
      <b/>
      <i/>
      <sz val="11"/>
      <color theme="1"/>
      <name val="Amasis MT Pro"/>
      <family val="2"/>
      <scheme val="minor"/>
    </font>
    <font>
      <b/>
      <i/>
      <sz val="11"/>
      <name val="Amasis MT Pro"/>
      <family val="2"/>
      <scheme val="minor"/>
    </font>
    <font>
      <b/>
      <sz val="11"/>
      <name val="Amasis MT Pro"/>
      <family val="2"/>
      <scheme val="minor"/>
    </font>
    <font>
      <sz val="11"/>
      <name val="Amasis MT Pro"/>
      <family val="2"/>
      <scheme val="minor"/>
    </font>
    <font>
      <b/>
      <sz val="11"/>
      <color theme="3"/>
      <name val="Amasis MT Pro"/>
      <family val="2"/>
      <scheme val="minor"/>
    </font>
    <font>
      <b/>
      <sz val="11"/>
      <color theme="0"/>
      <name val="Amasis MT Pro"/>
      <family val="2"/>
      <scheme val="minor"/>
    </font>
    <font>
      <b/>
      <i/>
      <sz val="11"/>
      <color theme="0"/>
      <name val="Amasis MT Pro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3" fillId="0" borderId="2" xfId="0" applyFont="1" applyBorder="1"/>
    <xf numFmtId="14" fontId="3" fillId="0" borderId="3" xfId="0" applyNumberFormat="1" applyFont="1" applyBorder="1"/>
    <xf numFmtId="0" fontId="3" fillId="0" borderId="4" xfId="0" applyFont="1" applyBorder="1"/>
    <xf numFmtId="0" fontId="3" fillId="0" borderId="5" xfId="0" applyFont="1" applyBorder="1"/>
    <xf numFmtId="0" fontId="4" fillId="0" borderId="1" xfId="0" applyFont="1" applyBorder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4" fontId="0" fillId="0" borderId="2" xfId="0" applyNumberFormat="1" applyBorder="1"/>
    <xf numFmtId="9" fontId="0" fillId="2" borderId="3" xfId="0" applyNumberFormat="1" applyFill="1" applyBorder="1"/>
    <xf numFmtId="10" fontId="2" fillId="0" borderId="0" xfId="1" applyNumberFormat="1" applyFont="1" applyAlignment="1">
      <alignment horizontal="center"/>
    </xf>
    <xf numFmtId="165" fontId="5" fillId="2" borderId="11" xfId="1" applyNumberFormat="1" applyFont="1" applyFill="1" applyBorder="1"/>
    <xf numFmtId="165" fontId="5" fillId="2" borderId="5" xfId="1" applyNumberFormat="1" applyFont="1" applyFill="1" applyBorder="1"/>
    <xf numFmtId="164" fontId="0" fillId="0" borderId="0" xfId="0" applyNumberFormat="1"/>
    <xf numFmtId="164" fontId="0" fillId="0" borderId="12" xfId="0" applyNumberFormat="1" applyBorder="1"/>
    <xf numFmtId="14" fontId="5" fillId="0" borderId="13" xfId="0" applyNumberFormat="1" applyFont="1" applyBorder="1"/>
    <xf numFmtId="14" fontId="5" fillId="0" borderId="14" xfId="0" applyNumberFormat="1" applyFont="1" applyBorder="1"/>
    <xf numFmtId="44" fontId="0" fillId="0" borderId="0" xfId="2" applyFont="1"/>
    <xf numFmtId="166" fontId="2" fillId="0" borderId="0" xfId="1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4" fontId="4" fillId="4" borderId="15" xfId="0" applyNumberFormat="1" applyFont="1" applyFill="1" applyBorder="1"/>
    <xf numFmtId="9" fontId="0" fillId="0" borderId="0" xfId="0" applyNumberFormat="1"/>
    <xf numFmtId="9" fontId="0" fillId="0" borderId="0" xfId="1" applyFont="1"/>
    <xf numFmtId="167" fontId="0" fillId="4" borderId="0" xfId="0" applyNumberFormat="1" applyFill="1"/>
    <xf numFmtId="10" fontId="0" fillId="0" borderId="0" xfId="1" applyNumberFormat="1" applyFont="1"/>
    <xf numFmtId="168" fontId="0" fillId="0" borderId="0" xfId="1" applyNumberFormat="1" applyFont="1"/>
    <xf numFmtId="169" fontId="0" fillId="0" borderId="0" xfId="0" applyNumberFormat="1"/>
    <xf numFmtId="44" fontId="0" fillId="4" borderId="0" xfId="2" applyFont="1" applyFill="1"/>
    <xf numFmtId="0" fontId="0" fillId="0" borderId="2" xfId="0" applyBorder="1" applyAlignment="1">
      <alignment horizontal="center"/>
    </xf>
    <xf numFmtId="10" fontId="0" fillId="0" borderId="9" xfId="1" applyNumberFormat="1" applyFont="1" applyBorder="1" applyAlignment="1">
      <alignment horizontal="center"/>
    </xf>
    <xf numFmtId="166" fontId="0" fillId="0" borderId="11" xfId="1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3" borderId="0" xfId="1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7" fillId="5" borderId="0" xfId="0" applyFont="1" applyFill="1"/>
    <xf numFmtId="9" fontId="6" fillId="0" borderId="0" xfId="0" applyNumberFormat="1" applyFont="1"/>
    <xf numFmtId="0" fontId="7" fillId="5" borderId="6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olores_Afi_2024">
  <a:themeElements>
    <a:clrScheme name="Afi_Paleta Pptx">
      <a:dk1>
        <a:srgbClr val="000000"/>
      </a:dk1>
      <a:lt1>
        <a:srgbClr val="FFFFFF"/>
      </a:lt1>
      <a:dk2>
        <a:srgbClr val="062C3F"/>
      </a:dk2>
      <a:lt2>
        <a:srgbClr val="F3F3F3"/>
      </a:lt2>
      <a:accent1>
        <a:srgbClr val="0085CA"/>
      </a:accent1>
      <a:accent2>
        <a:srgbClr val="C8DAE2"/>
      </a:accent2>
      <a:accent3>
        <a:srgbClr val="062C3F"/>
      </a:accent3>
      <a:accent4>
        <a:srgbClr val="0085CA"/>
      </a:accent4>
      <a:accent5>
        <a:srgbClr val="C8DAE2"/>
      </a:accent5>
      <a:accent6>
        <a:srgbClr val="F3F3F3"/>
      </a:accent6>
      <a:hlink>
        <a:srgbClr val="0085CA"/>
      </a:hlink>
      <a:folHlink>
        <a:srgbClr val="062C3F"/>
      </a:folHlink>
    </a:clrScheme>
    <a:fontScheme name="Afi">
      <a:majorFont>
        <a:latin typeface="Amasis MT Pro"/>
        <a:ea typeface=""/>
        <a:cs typeface=""/>
      </a:majorFont>
      <a:minorFont>
        <a:latin typeface="Amasis MT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Tema_Afi_2024" id="{6B772454-601F-484F-9B93-12CDB0DD81FE}" vid="{8D9AA64B-FBED-4A4A-BCB4-18FC448ED8E1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6:T114"/>
  <sheetViews>
    <sheetView showGridLines="0" tabSelected="1" workbookViewId="0"/>
  </sheetViews>
  <sheetFormatPr defaultColWidth="11.36328125" defaultRowHeight="14.5" x14ac:dyDescent="0.35"/>
  <cols>
    <col min="1" max="1" width="6.90625" customWidth="1"/>
    <col min="2" max="2" width="11.26953125" customWidth="1"/>
    <col min="4" max="4" width="12.81640625" bestFit="1" customWidth="1"/>
    <col min="7" max="7" width="8.26953125" customWidth="1"/>
    <col min="8" max="9" width="11.81640625" customWidth="1"/>
    <col min="11" max="11" width="8.54296875" customWidth="1"/>
    <col min="14" max="14" width="13.7265625" bestFit="1" customWidth="1"/>
    <col min="18" max="18" width="11.81640625" customWidth="1"/>
  </cols>
  <sheetData>
    <row r="6" spans="3:20" ht="15" x14ac:dyDescent="0.4">
      <c r="D6" s="2"/>
      <c r="M6" s="41" t="s">
        <v>31</v>
      </c>
      <c r="N6" s="42">
        <v>0.4</v>
      </c>
    </row>
    <row r="7" spans="3:20" ht="15" thickBot="1" x14ac:dyDescent="0.4">
      <c r="I7" s="1" t="s">
        <v>29</v>
      </c>
    </row>
    <row r="8" spans="3:20" x14ac:dyDescent="0.35">
      <c r="C8" s="4" t="s">
        <v>25</v>
      </c>
      <c r="D8" s="5">
        <v>44468</v>
      </c>
      <c r="I8" s="26">
        <f>SUM(I17:I55)*deltat</f>
        <v>8.8197772251101174</v>
      </c>
    </row>
    <row r="9" spans="3:20" ht="15" thickBot="1" x14ac:dyDescent="0.4">
      <c r="C9" s="6" t="s">
        <v>26</v>
      </c>
      <c r="D9" s="7">
        <f>3/12</f>
        <v>0.25</v>
      </c>
      <c r="I9" s="17" t="s">
        <v>28</v>
      </c>
    </row>
    <row r="10" spans="3:20" x14ac:dyDescent="0.35">
      <c r="I10" s="25">
        <f>(I16-I55)/I8</f>
        <v>2.4422960062495776E-2</v>
      </c>
      <c r="M10" t="s">
        <v>34</v>
      </c>
      <c r="R10" s="46" t="s">
        <v>44</v>
      </c>
      <c r="S10" s="46"/>
      <c r="T10" s="46"/>
    </row>
    <row r="11" spans="3:20" ht="15" thickBot="1" x14ac:dyDescent="0.4"/>
    <row r="12" spans="3:20" ht="15.5" thickBot="1" x14ac:dyDescent="0.45">
      <c r="D12" s="8" t="s">
        <v>0</v>
      </c>
      <c r="H12" s="43" t="s">
        <v>32</v>
      </c>
      <c r="I12" s="44"/>
      <c r="J12" s="45"/>
      <c r="T12" s="34"/>
    </row>
    <row r="13" spans="3:20" ht="15.5" thickTop="1" thickBot="1" x14ac:dyDescent="0.4">
      <c r="F13" s="2"/>
    </row>
    <row r="14" spans="3:20" ht="15.5" thickBot="1" x14ac:dyDescent="0.45">
      <c r="D14" s="9" t="s">
        <v>1</v>
      </c>
      <c r="E14" s="10" t="s">
        <v>2</v>
      </c>
      <c r="F14" s="11" t="s">
        <v>3</v>
      </c>
      <c r="H14" s="12" t="s">
        <v>27</v>
      </c>
      <c r="I14" s="13" t="s">
        <v>3</v>
      </c>
      <c r="J14" s="14" t="s">
        <v>30</v>
      </c>
      <c r="M14" s="41" t="s">
        <v>33</v>
      </c>
      <c r="N14" s="24">
        <v>100000</v>
      </c>
      <c r="R14" s="31"/>
      <c r="S14" s="32"/>
      <c r="T14" s="33"/>
    </row>
    <row r="15" spans="3:20" ht="15.5" thickBot="1" x14ac:dyDescent="0.45">
      <c r="D15" s="27">
        <f>(fechavalor)</f>
        <v>44468</v>
      </c>
      <c r="E15" s="15">
        <f>YEARFRAC(fechavalor,D15)</f>
        <v>0</v>
      </c>
      <c r="F15" s="16">
        <v>1</v>
      </c>
      <c r="H15" s="35">
        <v>0</v>
      </c>
      <c r="I15" s="36">
        <f>interpola(H15,$E$15:$F$36)</f>
        <v>1</v>
      </c>
      <c r="J15" s="37"/>
      <c r="M15" s="41" t="s">
        <v>35</v>
      </c>
      <c r="N15">
        <f>H16</f>
        <v>0.25</v>
      </c>
      <c r="R15" s="31"/>
      <c r="S15" s="32"/>
      <c r="T15" s="33"/>
    </row>
    <row r="16" spans="3:20" ht="15" x14ac:dyDescent="0.4">
      <c r="C16" s="3" t="s">
        <v>4</v>
      </c>
      <c r="D16" s="22">
        <v>44497</v>
      </c>
      <c r="E16" s="20">
        <f t="shared" ref="E16:E36" si="0">YEARFRAC(fechavalor,D16)</f>
        <v>8.0555555555555561E-2</v>
      </c>
      <c r="F16" s="18">
        <v>0.99988296356438799</v>
      </c>
      <c r="H16" s="38">
        <f t="shared" ref="H16:H55" si="1">H15+deltat</f>
        <v>0.25</v>
      </c>
      <c r="I16" s="39">
        <f>interpola(H16,$E$15:$F$36,1)</f>
        <v>0.99945721448703873</v>
      </c>
      <c r="J16" s="37">
        <f t="shared" ref="J16:J54" si="2">(I16/I17-1)/deltat</f>
        <v>1.0831746886775129E-2</v>
      </c>
      <c r="M16" s="41" t="s">
        <v>36</v>
      </c>
      <c r="N16" s="28">
        <v>0.02</v>
      </c>
      <c r="R16" s="31"/>
      <c r="S16" s="32"/>
      <c r="T16" s="33"/>
    </row>
    <row r="17" spans="3:20" x14ac:dyDescent="0.35">
      <c r="C17" s="3" t="s">
        <v>5</v>
      </c>
      <c r="D17" s="22">
        <v>44528</v>
      </c>
      <c r="E17" s="20">
        <f t="shared" si="0"/>
        <v>0.16388888888888889</v>
      </c>
      <c r="F17" s="18">
        <v>0.99967273007856805</v>
      </c>
      <c r="H17" s="38">
        <f t="shared" si="1"/>
        <v>0.5</v>
      </c>
      <c r="I17" s="39">
        <f t="shared" ref="I17:I55" si="3">interpola(H17,$E$15:$F$36,1)</f>
        <v>0.99675805674254137</v>
      </c>
      <c r="J17" s="37">
        <f t="shared" si="2"/>
        <v>1.4738145843626427E-2</v>
      </c>
      <c r="R17" s="31"/>
      <c r="S17" s="32"/>
      <c r="T17" s="33"/>
    </row>
    <row r="18" spans="3:20" ht="15" x14ac:dyDescent="0.4">
      <c r="C18" s="3" t="s">
        <v>6</v>
      </c>
      <c r="D18" s="22">
        <v>44558</v>
      </c>
      <c r="E18" s="20">
        <f t="shared" si="0"/>
        <v>0.24722222222222223</v>
      </c>
      <c r="F18" s="18">
        <v>0.99950235222720996</v>
      </c>
      <c r="H18" s="38">
        <f t="shared" si="1"/>
        <v>0.75</v>
      </c>
      <c r="I18" s="39">
        <f t="shared" si="3"/>
        <v>0.9930989474613322</v>
      </c>
      <c r="J18" s="37">
        <f t="shared" si="2"/>
        <v>1.2000571994713383E-2</v>
      </c>
      <c r="M18" s="41" t="s">
        <v>37</v>
      </c>
      <c r="R18" s="31"/>
      <c r="S18" s="32"/>
      <c r="T18" s="33"/>
    </row>
    <row r="19" spans="3:20" ht="15" x14ac:dyDescent="0.4">
      <c r="C19" s="3" t="s">
        <v>7</v>
      </c>
      <c r="D19" s="22">
        <v>44589</v>
      </c>
      <c r="E19" s="20">
        <f t="shared" si="0"/>
        <v>0.33055555555555555</v>
      </c>
      <c r="F19" s="18">
        <v>0.99814822002207204</v>
      </c>
      <c r="H19" s="38">
        <f t="shared" si="1"/>
        <v>1</v>
      </c>
      <c r="I19" s="39">
        <f t="shared" si="3"/>
        <v>0.99012842061243933</v>
      </c>
      <c r="J19" s="37">
        <f t="shared" si="2"/>
        <v>1.1793193318475836E-2</v>
      </c>
      <c r="M19" s="41" t="s">
        <v>38</v>
      </c>
      <c r="N19" s="29"/>
      <c r="R19" s="31"/>
      <c r="S19" s="32"/>
      <c r="T19" s="33"/>
    </row>
    <row r="20" spans="3:20" ht="15" x14ac:dyDescent="0.4">
      <c r="C20" s="3" t="s">
        <v>8</v>
      </c>
      <c r="D20" s="22">
        <v>44619</v>
      </c>
      <c r="E20" s="20">
        <f t="shared" si="0"/>
        <v>0.41111111111111109</v>
      </c>
      <c r="F20" s="18">
        <v>0.99723759959147995</v>
      </c>
      <c r="H20" s="38">
        <f t="shared" si="1"/>
        <v>1.25</v>
      </c>
      <c r="I20" s="39">
        <f t="shared" si="3"/>
        <v>0.9872178079981484</v>
      </c>
      <c r="J20" s="37">
        <f t="shared" si="2"/>
        <v>1.1824745681630056E-2</v>
      </c>
      <c r="M20" s="41" t="s">
        <v>39</v>
      </c>
      <c r="R20" s="31"/>
      <c r="S20" s="32"/>
      <c r="T20" s="33"/>
    </row>
    <row r="21" spans="3:20" ht="15" x14ac:dyDescent="0.4">
      <c r="C21" s="3" t="s">
        <v>9</v>
      </c>
      <c r="D21" s="22">
        <v>44650</v>
      </c>
      <c r="E21" s="20">
        <f t="shared" si="0"/>
        <v>0.50277777777777777</v>
      </c>
      <c r="F21" s="18">
        <v>0.99674307102851201</v>
      </c>
      <c r="H21" s="38">
        <f t="shared" si="1"/>
        <v>1.5</v>
      </c>
      <c r="I21" s="39">
        <f t="shared" si="3"/>
        <v>0.98430801002541291</v>
      </c>
      <c r="J21" s="37">
        <f t="shared" si="2"/>
        <v>1.1859805477531182E-2</v>
      </c>
      <c r="M21" s="41" t="s">
        <v>40</v>
      </c>
      <c r="R21" s="31"/>
      <c r="S21" s="32"/>
      <c r="T21" s="33"/>
    </row>
    <row r="22" spans="3:20" ht="15" x14ac:dyDescent="0.4">
      <c r="C22" s="3" t="s">
        <v>10</v>
      </c>
      <c r="D22" s="22">
        <v>44681</v>
      </c>
      <c r="E22" s="20">
        <f t="shared" si="0"/>
        <v>0.58611111111111114</v>
      </c>
      <c r="F22" s="18">
        <v>0.99487924526309801</v>
      </c>
      <c r="H22" s="38">
        <f t="shared" si="1"/>
        <v>1.75</v>
      </c>
      <c r="I22" s="39">
        <f t="shared" si="3"/>
        <v>0.98139821205267741</v>
      </c>
      <c r="J22" s="37">
        <f t="shared" si="2"/>
        <v>1.1895073792862476E-2</v>
      </c>
      <c r="M22" s="41" t="s">
        <v>41</v>
      </c>
      <c r="R22" s="31"/>
      <c r="S22" s="32"/>
      <c r="T22" s="33"/>
    </row>
    <row r="23" spans="3:20" ht="15" x14ac:dyDescent="0.4">
      <c r="C23" s="3" t="s">
        <v>11</v>
      </c>
      <c r="D23" s="22">
        <v>44711</v>
      </c>
      <c r="E23" s="20">
        <f t="shared" si="0"/>
        <v>0.6694444444444444</v>
      </c>
      <c r="F23" s="18">
        <v>0.99406438981562195</v>
      </c>
      <c r="H23" s="38">
        <f t="shared" si="1"/>
        <v>2</v>
      </c>
      <c r="I23" s="39">
        <f t="shared" si="3"/>
        <v>0.97848841407994191</v>
      </c>
      <c r="J23" s="37">
        <f t="shared" si="2"/>
        <v>1.2976439301437992E-2</v>
      </c>
      <c r="M23" s="41" t="s">
        <v>42</v>
      </c>
      <c r="R23" s="31"/>
      <c r="S23" s="32"/>
      <c r="T23" s="33"/>
    </row>
    <row r="24" spans="3:20" ht="15" x14ac:dyDescent="0.4">
      <c r="C24" s="3" t="s">
        <v>12</v>
      </c>
      <c r="D24" s="22">
        <v>44742</v>
      </c>
      <c r="E24" s="20">
        <f t="shared" si="0"/>
        <v>0.75277777777777777</v>
      </c>
      <c r="F24" s="18">
        <v>0.99306565634566701</v>
      </c>
      <c r="H24" s="38">
        <f t="shared" si="1"/>
        <v>2.25</v>
      </c>
      <c r="I24" s="39">
        <f t="shared" si="3"/>
        <v>0.97532435475775991</v>
      </c>
      <c r="J24" s="37">
        <f t="shared" si="2"/>
        <v>1.3030466324248202E-2</v>
      </c>
      <c r="M24" s="41" t="s">
        <v>43</v>
      </c>
      <c r="N24" s="30"/>
      <c r="R24" s="31"/>
      <c r="S24" s="32"/>
      <c r="T24" s="33"/>
    </row>
    <row r="25" spans="3:20" x14ac:dyDescent="0.35">
      <c r="C25" s="3" t="s">
        <v>13</v>
      </c>
      <c r="D25" s="22">
        <v>44772</v>
      </c>
      <c r="E25" s="20">
        <f t="shared" si="0"/>
        <v>0.83611111111111114</v>
      </c>
      <c r="F25" s="18">
        <v>0.99211950551273398</v>
      </c>
      <c r="H25" s="38">
        <f t="shared" si="1"/>
        <v>2.5</v>
      </c>
      <c r="I25" s="39">
        <f t="shared" si="3"/>
        <v>0.97215743856648296</v>
      </c>
      <c r="J25" s="37">
        <f t="shared" si="2"/>
        <v>1.3073053319506478E-2</v>
      </c>
      <c r="R25" s="31"/>
      <c r="S25" s="32"/>
      <c r="T25" s="33"/>
    </row>
    <row r="26" spans="3:20" x14ac:dyDescent="0.35">
      <c r="C26" s="3" t="s">
        <v>14</v>
      </c>
      <c r="D26" s="22">
        <v>44803</v>
      </c>
      <c r="E26" s="20">
        <f t="shared" si="0"/>
        <v>0.9194444444444444</v>
      </c>
      <c r="F26" s="18">
        <v>0.99108964678653799</v>
      </c>
      <c r="H26" s="38">
        <f t="shared" si="1"/>
        <v>2.75</v>
      </c>
      <c r="I26" s="39">
        <f t="shared" si="3"/>
        <v>0.968990522375206</v>
      </c>
      <c r="J26" s="37">
        <f t="shared" si="2"/>
        <v>1.3115919598568837E-2</v>
      </c>
      <c r="R26" s="31"/>
      <c r="S26" s="32"/>
      <c r="T26" s="33"/>
    </row>
    <row r="27" spans="3:20" x14ac:dyDescent="0.35">
      <c r="C27" s="3" t="s">
        <v>15</v>
      </c>
      <c r="D27" s="22">
        <v>44834</v>
      </c>
      <c r="E27" s="20">
        <f t="shared" si="0"/>
        <v>1.0027777777777778</v>
      </c>
      <c r="F27" s="18">
        <v>0.99009527488229798</v>
      </c>
      <c r="H27" s="38">
        <f t="shared" si="1"/>
        <v>3</v>
      </c>
      <c r="I27" s="39">
        <f t="shared" si="3"/>
        <v>0.96582360618392904</v>
      </c>
      <c r="J27" s="37">
        <f t="shared" si="2"/>
        <v>2.4946022961679581E-2</v>
      </c>
      <c r="R27" s="31"/>
      <c r="S27" s="32"/>
      <c r="T27" s="33"/>
    </row>
    <row r="28" spans="3:20" x14ac:dyDescent="0.35">
      <c r="C28" s="3" t="s">
        <v>16</v>
      </c>
      <c r="D28" s="22">
        <v>45199</v>
      </c>
      <c r="E28" s="20">
        <f t="shared" si="0"/>
        <v>2.0027777777777778</v>
      </c>
      <c r="F28" s="18">
        <v>0.978456082991356</v>
      </c>
      <c r="H28" s="38">
        <f t="shared" si="1"/>
        <v>3.25</v>
      </c>
      <c r="I28" s="39">
        <f t="shared" si="3"/>
        <v>0.95983757364601496</v>
      </c>
      <c r="J28" s="37">
        <f t="shared" si="2"/>
        <v>2.5102575316741316E-2</v>
      </c>
      <c r="R28" s="31"/>
      <c r="S28" s="32"/>
      <c r="T28" s="33"/>
    </row>
    <row r="29" spans="3:20" x14ac:dyDescent="0.35">
      <c r="C29" s="3" t="s">
        <v>17</v>
      </c>
      <c r="D29" s="22">
        <v>45564</v>
      </c>
      <c r="E29" s="20">
        <f t="shared" si="0"/>
        <v>3</v>
      </c>
      <c r="F29" s="18">
        <v>0.96582360618392904</v>
      </c>
      <c r="H29" s="38">
        <f t="shared" si="1"/>
        <v>3.5</v>
      </c>
      <c r="I29" s="39">
        <f t="shared" si="3"/>
        <v>0.953851541108101</v>
      </c>
      <c r="J29" s="37">
        <f t="shared" si="2"/>
        <v>2.526110501454415E-2</v>
      </c>
      <c r="R29" s="31"/>
      <c r="S29" s="32"/>
      <c r="T29" s="33"/>
    </row>
    <row r="30" spans="3:20" x14ac:dyDescent="0.35">
      <c r="C30" s="3" t="s">
        <v>18</v>
      </c>
      <c r="D30" s="22">
        <v>45929</v>
      </c>
      <c r="E30" s="20">
        <f t="shared" si="0"/>
        <v>4</v>
      </c>
      <c r="F30" s="18">
        <v>0.94187947603227296</v>
      </c>
      <c r="H30" s="38">
        <f t="shared" si="1"/>
        <v>3.75</v>
      </c>
      <c r="I30" s="39">
        <f t="shared" si="3"/>
        <v>0.94786550857018703</v>
      </c>
      <c r="J30" s="37">
        <f t="shared" si="2"/>
        <v>2.5421649755574371E-2</v>
      </c>
      <c r="R30" s="31"/>
      <c r="S30" s="32"/>
      <c r="T30" s="33"/>
    </row>
    <row r="31" spans="3:20" x14ac:dyDescent="0.35">
      <c r="C31" s="3" t="s">
        <v>19</v>
      </c>
      <c r="D31" s="22">
        <v>46295</v>
      </c>
      <c r="E31" s="20">
        <f t="shared" si="0"/>
        <v>5.0027777777777782</v>
      </c>
      <c r="F31" s="18">
        <v>0.92749202823460397</v>
      </c>
      <c r="H31" s="38">
        <f t="shared" si="1"/>
        <v>4</v>
      </c>
      <c r="I31" s="39">
        <f t="shared" si="3"/>
        <v>0.94187947603227296</v>
      </c>
      <c r="J31" s="37">
        <f t="shared" si="2"/>
        <v>1.529117219169418E-2</v>
      </c>
      <c r="R31" s="31"/>
      <c r="S31" s="32"/>
      <c r="T31" s="33"/>
    </row>
    <row r="32" spans="3:20" x14ac:dyDescent="0.35">
      <c r="C32" s="3" t="s">
        <v>20</v>
      </c>
      <c r="D32" s="22">
        <v>46660</v>
      </c>
      <c r="E32" s="20">
        <f t="shared" si="0"/>
        <v>6.0027777777777782</v>
      </c>
      <c r="F32" s="18">
        <v>0.89396529055654905</v>
      </c>
      <c r="H32" s="38">
        <f t="shared" si="1"/>
        <v>4.25</v>
      </c>
      <c r="I32" s="39">
        <f t="shared" si="3"/>
        <v>0.9382925776893638</v>
      </c>
      <c r="J32" s="37">
        <f t="shared" si="2"/>
        <v>1.5349851497284739E-2</v>
      </c>
      <c r="R32" s="31"/>
      <c r="S32" s="32"/>
      <c r="T32" s="33"/>
    </row>
    <row r="33" spans="3:20" x14ac:dyDescent="0.35">
      <c r="C33" s="3" t="s">
        <v>21</v>
      </c>
      <c r="D33" s="22">
        <v>47025</v>
      </c>
      <c r="E33" s="20">
        <f t="shared" si="0"/>
        <v>7</v>
      </c>
      <c r="F33" s="18">
        <v>0.86300749846754499</v>
      </c>
      <c r="H33" s="38">
        <f t="shared" si="1"/>
        <v>4.5</v>
      </c>
      <c r="I33" s="39">
        <f t="shared" si="3"/>
        <v>0.93470567934645465</v>
      </c>
      <c r="J33" s="37">
        <f t="shared" si="2"/>
        <v>1.540898289708359E-2</v>
      </c>
      <c r="R33" s="31"/>
      <c r="S33" s="32"/>
      <c r="T33" s="33"/>
    </row>
    <row r="34" spans="3:20" x14ac:dyDescent="0.35">
      <c r="C34" s="3" t="s">
        <v>22</v>
      </c>
      <c r="D34" s="22">
        <v>47390</v>
      </c>
      <c r="E34" s="20">
        <f t="shared" si="0"/>
        <v>8</v>
      </c>
      <c r="F34" s="18">
        <v>0.83446703294463098</v>
      </c>
      <c r="H34" s="38">
        <f t="shared" si="1"/>
        <v>4.75</v>
      </c>
      <c r="I34" s="39">
        <f t="shared" si="3"/>
        <v>0.9311187810035455</v>
      </c>
      <c r="J34" s="37">
        <f t="shared" si="2"/>
        <v>1.546857163602855E-2</v>
      </c>
      <c r="R34" s="31"/>
      <c r="S34" s="32"/>
      <c r="T34" s="33"/>
    </row>
    <row r="35" spans="3:20" x14ac:dyDescent="0.35">
      <c r="C35" s="3" t="s">
        <v>23</v>
      </c>
      <c r="D35" s="22">
        <v>47756</v>
      </c>
      <c r="E35" s="20">
        <f t="shared" si="0"/>
        <v>9.0027777777777782</v>
      </c>
      <c r="F35" s="18">
        <v>0.80810486467052001</v>
      </c>
      <c r="H35" s="38">
        <f t="shared" si="1"/>
        <v>5</v>
      </c>
      <c r="I35" s="39">
        <f t="shared" si="3"/>
        <v>0.92753188266063635</v>
      </c>
      <c r="J35" s="37">
        <f t="shared" si="2"/>
        <v>3.6241851809652559E-2</v>
      </c>
      <c r="R35" s="31"/>
      <c r="S35" s="32"/>
      <c r="T35" s="33"/>
    </row>
    <row r="36" spans="3:20" ht="15" thickBot="1" x14ac:dyDescent="0.4">
      <c r="C36" s="3" t="s">
        <v>24</v>
      </c>
      <c r="D36" s="23">
        <v>48121</v>
      </c>
      <c r="E36" s="21">
        <f t="shared" si="0"/>
        <v>10.002777777777778</v>
      </c>
      <c r="F36" s="19">
        <v>0.78398514834605204</v>
      </c>
      <c r="H36" s="38">
        <f t="shared" si="1"/>
        <v>5.25</v>
      </c>
      <c r="I36" s="39">
        <f t="shared" si="3"/>
        <v>0.91920347364197375</v>
      </c>
      <c r="J36" s="37">
        <f t="shared" si="2"/>
        <v>3.6809327658570368E-2</v>
      </c>
      <c r="R36" s="31"/>
      <c r="S36" s="32"/>
      <c r="T36" s="33"/>
    </row>
    <row r="37" spans="3:20" x14ac:dyDescent="0.35">
      <c r="H37" s="38">
        <f t="shared" si="1"/>
        <v>5.5</v>
      </c>
      <c r="I37" s="39">
        <f t="shared" si="3"/>
        <v>0.91082178922246004</v>
      </c>
      <c r="J37" s="37">
        <f t="shared" si="2"/>
        <v>3.7151205381520391E-2</v>
      </c>
      <c r="R37" s="31"/>
      <c r="S37" s="32"/>
      <c r="T37" s="33"/>
    </row>
    <row r="38" spans="3:20" x14ac:dyDescent="0.35">
      <c r="H38" s="38">
        <f t="shared" si="1"/>
        <v>5.75</v>
      </c>
      <c r="I38" s="39">
        <f t="shared" si="3"/>
        <v>0.90244010480294623</v>
      </c>
      <c r="J38" s="37">
        <f t="shared" si="2"/>
        <v>3.749949322514734E-2</v>
      </c>
      <c r="R38" s="31"/>
      <c r="S38" s="32"/>
      <c r="T38" s="33"/>
    </row>
    <row r="39" spans="3:20" x14ac:dyDescent="0.35">
      <c r="H39" s="38">
        <f t="shared" si="1"/>
        <v>6</v>
      </c>
      <c r="I39" s="39">
        <f t="shared" si="3"/>
        <v>0.89405842038343253</v>
      </c>
      <c r="J39" s="37">
        <f t="shared" si="2"/>
        <v>3.5058043121883209E-2</v>
      </c>
      <c r="R39" s="31"/>
      <c r="S39" s="32"/>
      <c r="T39" s="33"/>
    </row>
    <row r="40" spans="3:20" x14ac:dyDescent="0.35">
      <c r="H40" s="38">
        <f t="shared" si="1"/>
        <v>6.25</v>
      </c>
      <c r="I40" s="39">
        <f t="shared" si="3"/>
        <v>0.88629051758740873</v>
      </c>
      <c r="J40" s="37">
        <f t="shared" si="2"/>
        <v>3.5336349088887609E-2</v>
      </c>
      <c r="R40" s="31"/>
      <c r="S40" s="32"/>
      <c r="T40" s="33"/>
    </row>
    <row r="41" spans="3:20" x14ac:dyDescent="0.35">
      <c r="H41" s="38">
        <f t="shared" si="1"/>
        <v>6.5</v>
      </c>
      <c r="I41" s="39">
        <f t="shared" si="3"/>
        <v>0.87852951121412082</v>
      </c>
      <c r="J41" s="37">
        <f t="shared" si="2"/>
        <v>3.5651295746882639E-2</v>
      </c>
      <c r="R41" s="31"/>
      <c r="S41" s="32"/>
      <c r="T41" s="33"/>
    </row>
    <row r="42" spans="3:20" x14ac:dyDescent="0.35">
      <c r="H42" s="38">
        <f t="shared" si="1"/>
        <v>6.75</v>
      </c>
      <c r="I42" s="39">
        <f t="shared" si="3"/>
        <v>0.8707685048408329</v>
      </c>
      <c r="J42" s="37">
        <f t="shared" si="2"/>
        <v>3.597190702082731E-2</v>
      </c>
      <c r="R42" s="31"/>
      <c r="S42" s="32"/>
      <c r="T42" s="33"/>
    </row>
    <row r="43" spans="3:20" x14ac:dyDescent="0.35">
      <c r="H43" s="38">
        <f t="shared" si="1"/>
        <v>7</v>
      </c>
      <c r="I43" s="39">
        <f t="shared" si="3"/>
        <v>0.86300749846754499</v>
      </c>
      <c r="J43" s="37">
        <f t="shared" si="2"/>
        <v>3.3346636858786916E-2</v>
      </c>
      <c r="R43" s="31"/>
      <c r="S43" s="32"/>
      <c r="T43" s="33"/>
    </row>
    <row r="44" spans="3:20" x14ac:dyDescent="0.35">
      <c r="H44" s="38">
        <f t="shared" si="1"/>
        <v>7.25</v>
      </c>
      <c r="I44" s="39">
        <f t="shared" si="3"/>
        <v>0.85587238208681649</v>
      </c>
      <c r="J44" s="37">
        <f t="shared" si="2"/>
        <v>3.3626973477087319E-2</v>
      </c>
      <c r="R44" s="31"/>
      <c r="S44" s="32"/>
      <c r="T44" s="33"/>
    </row>
    <row r="45" spans="3:20" x14ac:dyDescent="0.35">
      <c r="H45" s="38">
        <f t="shared" si="1"/>
        <v>7.5</v>
      </c>
      <c r="I45" s="39">
        <f t="shared" si="3"/>
        <v>0.84873726570608798</v>
      </c>
      <c r="J45" s="37">
        <f t="shared" si="2"/>
        <v>3.3912063491986721E-2</v>
      </c>
      <c r="R45" s="31"/>
      <c r="S45" s="32"/>
      <c r="T45" s="33"/>
    </row>
    <row r="46" spans="3:20" x14ac:dyDescent="0.35">
      <c r="H46" s="38">
        <f t="shared" si="1"/>
        <v>7.75</v>
      </c>
      <c r="I46" s="39">
        <f t="shared" si="3"/>
        <v>0.84160214932535948</v>
      </c>
      <c r="J46" s="37">
        <f t="shared" si="2"/>
        <v>3.4202028835341736E-2</v>
      </c>
      <c r="R46" s="31"/>
      <c r="S46" s="32"/>
      <c r="T46" s="33"/>
    </row>
    <row r="47" spans="3:20" x14ac:dyDescent="0.35">
      <c r="H47" s="38">
        <f t="shared" si="1"/>
        <v>8</v>
      </c>
      <c r="I47" s="39">
        <f t="shared" si="3"/>
        <v>0.83446703294463098</v>
      </c>
      <c r="J47" s="37">
        <f t="shared" si="2"/>
        <v>3.1754209052947679E-2</v>
      </c>
      <c r="R47" s="31"/>
      <c r="S47" s="32"/>
      <c r="T47" s="33"/>
    </row>
    <row r="48" spans="3:20" x14ac:dyDescent="0.35">
      <c r="H48" s="38">
        <f t="shared" si="1"/>
        <v>8.25</v>
      </c>
      <c r="I48" s="39">
        <f t="shared" si="3"/>
        <v>0.82789474722532352</v>
      </c>
      <c r="J48" s="37">
        <f t="shared" si="2"/>
        <v>3.2008308684295272E-2</v>
      </c>
      <c r="R48" s="31"/>
      <c r="S48" s="32"/>
      <c r="T48" s="33"/>
    </row>
    <row r="49" spans="8:20" x14ac:dyDescent="0.35">
      <c r="H49" s="38">
        <f t="shared" si="1"/>
        <v>8.5</v>
      </c>
      <c r="I49" s="39">
        <f t="shared" si="3"/>
        <v>0.82132246150601607</v>
      </c>
      <c r="J49" s="37">
        <f t="shared" si="2"/>
        <v>3.2266507769508124E-2</v>
      </c>
      <c r="R49" s="31"/>
      <c r="S49" s="32"/>
      <c r="T49" s="33"/>
    </row>
    <row r="50" spans="8:20" x14ac:dyDescent="0.35">
      <c r="H50" s="38">
        <f t="shared" si="1"/>
        <v>8.75</v>
      </c>
      <c r="I50" s="39">
        <f t="shared" si="3"/>
        <v>0.81475017578670861</v>
      </c>
      <c r="J50" s="37">
        <f t="shared" si="2"/>
        <v>3.2528906321648066E-2</v>
      </c>
      <c r="R50" s="31"/>
      <c r="S50" s="32"/>
      <c r="T50" s="33"/>
    </row>
    <row r="51" spans="8:20" x14ac:dyDescent="0.35">
      <c r="H51" s="38">
        <f t="shared" si="1"/>
        <v>9</v>
      </c>
      <c r="I51" s="39">
        <f t="shared" si="3"/>
        <v>0.80817789006740126</v>
      </c>
      <c r="J51" s="37">
        <f t="shared" si="2"/>
        <v>3.0099188206536454E-2</v>
      </c>
      <c r="R51" s="31"/>
      <c r="S51" s="32"/>
      <c r="T51" s="33"/>
    </row>
    <row r="52" spans="8:20" x14ac:dyDescent="0.35">
      <c r="H52" s="38">
        <f t="shared" si="1"/>
        <v>9.25</v>
      </c>
      <c r="I52" s="39">
        <f t="shared" si="3"/>
        <v>0.80214193480141549</v>
      </c>
      <c r="J52" s="37">
        <f t="shared" si="2"/>
        <v>3.0296888064946792E-2</v>
      </c>
      <c r="R52" s="31"/>
      <c r="S52" s="32"/>
      <c r="T52" s="33"/>
    </row>
    <row r="53" spans="8:20" x14ac:dyDescent="0.35">
      <c r="H53" s="38">
        <f t="shared" si="1"/>
        <v>9.5</v>
      </c>
      <c r="I53" s="39">
        <f t="shared" si="3"/>
        <v>0.7961120057202985</v>
      </c>
      <c r="J53" s="37">
        <f t="shared" si="2"/>
        <v>3.0528114784058147E-2</v>
      </c>
      <c r="R53" s="31"/>
      <c r="S53" s="32"/>
      <c r="T53" s="33"/>
    </row>
    <row r="54" spans="8:20" x14ac:dyDescent="0.35">
      <c r="H54" s="38">
        <f t="shared" si="1"/>
        <v>9.75</v>
      </c>
      <c r="I54" s="39">
        <f t="shared" si="3"/>
        <v>0.79008207663918151</v>
      </c>
      <c r="J54" s="37">
        <f t="shared" si="2"/>
        <v>3.0762898105169079E-2</v>
      </c>
      <c r="R54" s="31"/>
      <c r="S54" s="32"/>
      <c r="T54" s="33"/>
    </row>
    <row r="55" spans="8:20" ht="15" thickBot="1" x14ac:dyDescent="0.4">
      <c r="H55" s="40">
        <f t="shared" si="1"/>
        <v>10</v>
      </c>
      <c r="I55" s="39">
        <f t="shared" si="3"/>
        <v>0.78405214755806452</v>
      </c>
      <c r="J55" s="3"/>
      <c r="R55" s="31"/>
      <c r="S55" s="32"/>
      <c r="T55" s="33"/>
    </row>
    <row r="56" spans="8:20" x14ac:dyDescent="0.35">
      <c r="R56" s="31"/>
      <c r="S56" s="32"/>
      <c r="T56" s="33"/>
    </row>
    <row r="57" spans="8:20" x14ac:dyDescent="0.35">
      <c r="R57" s="31"/>
      <c r="S57" s="32"/>
      <c r="T57" s="33"/>
    </row>
    <row r="58" spans="8:20" x14ac:dyDescent="0.35">
      <c r="R58" s="31"/>
      <c r="S58" s="32"/>
      <c r="T58" s="33"/>
    </row>
    <row r="59" spans="8:20" x14ac:dyDescent="0.35">
      <c r="R59" s="31"/>
      <c r="S59" s="32"/>
      <c r="T59" s="33"/>
    </row>
    <row r="60" spans="8:20" x14ac:dyDescent="0.35">
      <c r="R60" s="31"/>
      <c r="S60" s="32"/>
      <c r="T60" s="33"/>
    </row>
    <row r="61" spans="8:20" x14ac:dyDescent="0.35">
      <c r="R61" s="31"/>
      <c r="S61" s="32"/>
      <c r="T61" s="33"/>
    </row>
    <row r="62" spans="8:20" x14ac:dyDescent="0.35">
      <c r="R62" s="31"/>
      <c r="S62" s="32"/>
      <c r="T62" s="33"/>
    </row>
    <row r="63" spans="8:20" x14ac:dyDescent="0.35">
      <c r="R63" s="31"/>
      <c r="S63" s="32"/>
      <c r="T63" s="33"/>
    </row>
    <row r="64" spans="8:20" x14ac:dyDescent="0.35">
      <c r="R64" s="31"/>
      <c r="S64" s="32"/>
      <c r="T64" s="33"/>
    </row>
    <row r="65" spans="18:20" x14ac:dyDescent="0.35">
      <c r="R65" s="31"/>
      <c r="S65" s="32"/>
      <c r="T65" s="33"/>
    </row>
    <row r="66" spans="18:20" x14ac:dyDescent="0.35">
      <c r="R66" s="31"/>
      <c r="S66" s="32"/>
      <c r="T66" s="33"/>
    </row>
    <row r="67" spans="18:20" x14ac:dyDescent="0.35">
      <c r="R67" s="31"/>
      <c r="S67" s="32"/>
      <c r="T67" s="33"/>
    </row>
    <row r="68" spans="18:20" x14ac:dyDescent="0.35">
      <c r="R68" s="31"/>
      <c r="S68" s="32"/>
      <c r="T68" s="33"/>
    </row>
    <row r="69" spans="18:20" x14ac:dyDescent="0.35">
      <c r="R69" s="31"/>
      <c r="S69" s="32"/>
      <c r="T69" s="33"/>
    </row>
    <row r="70" spans="18:20" x14ac:dyDescent="0.35">
      <c r="R70" s="31"/>
      <c r="S70" s="32"/>
      <c r="T70" s="33"/>
    </row>
    <row r="71" spans="18:20" x14ac:dyDescent="0.35">
      <c r="R71" s="31"/>
      <c r="S71" s="32"/>
      <c r="T71" s="33"/>
    </row>
    <row r="72" spans="18:20" x14ac:dyDescent="0.35">
      <c r="R72" s="31"/>
      <c r="S72" s="32"/>
      <c r="T72" s="33"/>
    </row>
    <row r="73" spans="18:20" x14ac:dyDescent="0.35">
      <c r="R73" s="31"/>
      <c r="S73" s="32"/>
      <c r="T73" s="33"/>
    </row>
    <row r="74" spans="18:20" x14ac:dyDescent="0.35">
      <c r="R74" s="31"/>
      <c r="S74" s="32"/>
      <c r="T74" s="33"/>
    </row>
    <row r="75" spans="18:20" x14ac:dyDescent="0.35">
      <c r="R75" s="31"/>
      <c r="S75" s="32"/>
      <c r="T75" s="33"/>
    </row>
    <row r="76" spans="18:20" x14ac:dyDescent="0.35">
      <c r="R76" s="31"/>
      <c r="S76" s="32"/>
      <c r="T76" s="33"/>
    </row>
    <row r="77" spans="18:20" x14ac:dyDescent="0.35">
      <c r="R77" s="31"/>
      <c r="S77" s="32"/>
      <c r="T77" s="33"/>
    </row>
    <row r="78" spans="18:20" x14ac:dyDescent="0.35">
      <c r="R78" s="31"/>
      <c r="S78" s="32"/>
      <c r="T78" s="33"/>
    </row>
    <row r="79" spans="18:20" x14ac:dyDescent="0.35">
      <c r="R79" s="31"/>
      <c r="S79" s="32"/>
      <c r="T79" s="33"/>
    </row>
    <row r="80" spans="18:20" x14ac:dyDescent="0.35">
      <c r="R80" s="31"/>
      <c r="S80" s="32"/>
      <c r="T80" s="33"/>
    </row>
    <row r="81" spans="18:20" x14ac:dyDescent="0.35">
      <c r="R81" s="31"/>
      <c r="S81" s="32"/>
      <c r="T81" s="33"/>
    </row>
    <row r="82" spans="18:20" x14ac:dyDescent="0.35">
      <c r="R82" s="31"/>
      <c r="S82" s="32"/>
      <c r="T82" s="33"/>
    </row>
    <row r="83" spans="18:20" x14ac:dyDescent="0.35">
      <c r="R83" s="31"/>
      <c r="S83" s="32"/>
      <c r="T83" s="33"/>
    </row>
    <row r="84" spans="18:20" x14ac:dyDescent="0.35">
      <c r="R84" s="31"/>
      <c r="S84" s="32"/>
      <c r="T84" s="33"/>
    </row>
    <row r="85" spans="18:20" x14ac:dyDescent="0.35">
      <c r="R85" s="31"/>
      <c r="S85" s="32"/>
      <c r="T85" s="33"/>
    </row>
    <row r="86" spans="18:20" x14ac:dyDescent="0.35">
      <c r="R86" s="31"/>
      <c r="S86" s="32"/>
      <c r="T86" s="33"/>
    </row>
    <row r="87" spans="18:20" x14ac:dyDescent="0.35">
      <c r="R87" s="31"/>
      <c r="S87" s="32"/>
      <c r="T87" s="33"/>
    </row>
    <row r="88" spans="18:20" x14ac:dyDescent="0.35">
      <c r="R88" s="31"/>
      <c r="S88" s="32"/>
      <c r="T88" s="33"/>
    </row>
    <row r="89" spans="18:20" x14ac:dyDescent="0.35">
      <c r="R89" s="31"/>
      <c r="S89" s="32"/>
      <c r="T89" s="33"/>
    </row>
    <row r="90" spans="18:20" x14ac:dyDescent="0.35">
      <c r="R90" s="31"/>
      <c r="S90" s="32"/>
      <c r="T90" s="33"/>
    </row>
    <row r="91" spans="18:20" x14ac:dyDescent="0.35">
      <c r="R91" s="31"/>
      <c r="S91" s="32"/>
      <c r="T91" s="33"/>
    </row>
    <row r="92" spans="18:20" x14ac:dyDescent="0.35">
      <c r="R92" s="31"/>
      <c r="S92" s="32"/>
      <c r="T92" s="33"/>
    </row>
    <row r="93" spans="18:20" x14ac:dyDescent="0.35">
      <c r="R93" s="31"/>
      <c r="S93" s="32"/>
      <c r="T93" s="33"/>
    </row>
    <row r="94" spans="18:20" x14ac:dyDescent="0.35">
      <c r="R94" s="31"/>
      <c r="S94" s="32"/>
      <c r="T94" s="33"/>
    </row>
    <row r="95" spans="18:20" x14ac:dyDescent="0.35">
      <c r="R95" s="31"/>
      <c r="S95" s="32"/>
      <c r="T95" s="33"/>
    </row>
    <row r="96" spans="18:20" x14ac:dyDescent="0.35">
      <c r="R96" s="31"/>
      <c r="S96" s="32"/>
      <c r="T96" s="33"/>
    </row>
    <row r="97" spans="18:20" x14ac:dyDescent="0.35">
      <c r="R97" s="31"/>
      <c r="S97" s="32"/>
      <c r="T97" s="33"/>
    </row>
    <row r="98" spans="18:20" x14ac:dyDescent="0.35">
      <c r="R98" s="31"/>
      <c r="S98" s="32"/>
      <c r="T98" s="33"/>
    </row>
    <row r="99" spans="18:20" x14ac:dyDescent="0.35">
      <c r="R99" s="31"/>
      <c r="S99" s="32"/>
      <c r="T99" s="33"/>
    </row>
    <row r="100" spans="18:20" x14ac:dyDescent="0.35">
      <c r="R100" s="31"/>
      <c r="S100" s="32"/>
      <c r="T100" s="33"/>
    </row>
    <row r="101" spans="18:20" x14ac:dyDescent="0.35">
      <c r="R101" s="31"/>
      <c r="S101" s="32"/>
      <c r="T101" s="33"/>
    </row>
    <row r="102" spans="18:20" x14ac:dyDescent="0.35">
      <c r="R102" s="31"/>
      <c r="S102" s="32"/>
      <c r="T102" s="33"/>
    </row>
    <row r="103" spans="18:20" x14ac:dyDescent="0.35">
      <c r="R103" s="31"/>
      <c r="S103" s="32"/>
      <c r="T103" s="33"/>
    </row>
    <row r="104" spans="18:20" x14ac:dyDescent="0.35">
      <c r="R104" s="31"/>
      <c r="S104" s="32"/>
      <c r="T104" s="33"/>
    </row>
    <row r="105" spans="18:20" x14ac:dyDescent="0.35">
      <c r="R105" s="31"/>
      <c r="S105" s="32"/>
      <c r="T105" s="33"/>
    </row>
    <row r="106" spans="18:20" x14ac:dyDescent="0.35">
      <c r="R106" s="31"/>
      <c r="S106" s="32"/>
      <c r="T106" s="33"/>
    </row>
    <row r="107" spans="18:20" x14ac:dyDescent="0.35">
      <c r="R107" s="31"/>
      <c r="S107" s="32"/>
      <c r="T107" s="33"/>
    </row>
    <row r="108" spans="18:20" x14ac:dyDescent="0.35">
      <c r="R108" s="31"/>
      <c r="S108" s="32"/>
      <c r="T108" s="33"/>
    </row>
    <row r="109" spans="18:20" x14ac:dyDescent="0.35">
      <c r="R109" s="31"/>
      <c r="S109" s="32"/>
      <c r="T109" s="33"/>
    </row>
    <row r="110" spans="18:20" x14ac:dyDescent="0.35">
      <c r="R110" s="31"/>
      <c r="S110" s="32"/>
      <c r="T110" s="33"/>
    </row>
    <row r="111" spans="18:20" x14ac:dyDescent="0.35">
      <c r="R111" s="31"/>
      <c r="S111" s="32"/>
      <c r="T111" s="33"/>
    </row>
    <row r="112" spans="18:20" x14ac:dyDescent="0.35">
      <c r="R112" s="31"/>
      <c r="S112" s="32"/>
      <c r="T112" s="33"/>
    </row>
    <row r="113" spans="18:20" x14ac:dyDescent="0.35">
      <c r="R113" s="31"/>
      <c r="S113" s="32"/>
      <c r="T113" s="33"/>
    </row>
    <row r="114" spans="18:20" x14ac:dyDescent="0.35">
      <c r="R114" s="31"/>
      <c r="S114" s="32"/>
      <c r="T114" s="33"/>
    </row>
  </sheetData>
  <mergeCells count="2">
    <mergeCell ref="H12:J12"/>
    <mergeCell ref="R10:T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Hoja1</vt:lpstr>
      <vt:lpstr>deltat</vt:lpstr>
      <vt:lpstr>fechavalor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José Javier Calderón Coronado</cp:lastModifiedBy>
  <dcterms:created xsi:type="dcterms:W3CDTF">2010-02-26T22:22:49Z</dcterms:created>
  <dcterms:modified xsi:type="dcterms:W3CDTF">2025-04-03T11:07:21Z</dcterms:modified>
</cp:coreProperties>
</file>