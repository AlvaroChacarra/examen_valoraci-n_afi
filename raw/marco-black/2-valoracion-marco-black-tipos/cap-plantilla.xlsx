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2025_04_Valoracion_MFC\Valoración\Documentación\2. Marco Black. Tipos\2. Valoración. Marco Black. Tipos. Ejercicios\"/>
    </mc:Choice>
  </mc:AlternateContent>
  <xr:revisionPtr revIDLastSave="0" documentId="13_ncr:1_{E25E95E0-2FEA-4739-88B5-14D4302F1C0C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Hoja1" sheetId="1" r:id="rId1"/>
  </sheets>
  <definedNames>
    <definedName name="deltat">Hoja1!$E$3</definedName>
    <definedName name="K">Hoja1!$M$4</definedName>
    <definedName name="nom">Hoja1!$M$3</definedName>
    <definedName name="vola">Hoja1!$E$23</definedName>
  </definedName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9" i="1" l="1"/>
  <c r="J9" i="1"/>
  <c r="D10" i="1"/>
  <c r="D11" i="1" l="1"/>
  <c r="J10" i="1"/>
  <c r="J11" i="1" l="1"/>
  <c r="D12" i="1"/>
  <c r="J12" i="1" l="1"/>
  <c r="D13" i="1"/>
  <c r="J13" i="1" l="1"/>
  <c r="D14" i="1"/>
  <c r="J14" i="1" l="1"/>
  <c r="D15" i="1"/>
  <c r="J15" i="1" l="1"/>
  <c r="D16" i="1"/>
  <c r="J16" i="1" l="1"/>
  <c r="D17" i="1"/>
  <c r="J17" i="1" l="1"/>
  <c r="D18" i="1"/>
  <c r="D19" i="1" s="1"/>
  <c r="D20" i="1" s="1"/>
  <c r="D2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Euclides</author>
  </authors>
  <commentList>
    <comment ref="Q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habitualmente este primer pago (fijo y conocido) no se considera dentro del cap, que solo constaría de los 9 caplets siguientes. Puedes quitarlo.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<sst xmlns="http://schemas.openxmlformats.org/spreadsheetml/2006/main" count="26" uniqueCount="18">
  <si>
    <t>deltat</t>
  </si>
  <si>
    <t>FD</t>
  </si>
  <si>
    <t xml:space="preserve">vola </t>
  </si>
  <si>
    <t>cap semestral a 5 años</t>
  </si>
  <si>
    <t>K</t>
  </si>
  <si>
    <t>vola acum</t>
  </si>
  <si>
    <t>plazo</t>
  </si>
  <si>
    <t>dmas</t>
  </si>
  <si>
    <t>dmenos</t>
  </si>
  <si>
    <t>phi(dmas)</t>
  </si>
  <si>
    <t>phi(dmenos)</t>
  </si>
  <si>
    <t>prima cap</t>
  </si>
  <si>
    <t>nom</t>
  </si>
  <si>
    <t>moneyness</t>
  </si>
  <si>
    <t>pago de tiempo</t>
  </si>
  <si>
    <t>pago (caplet) de tiempo</t>
  </si>
  <si>
    <t>primas</t>
  </si>
  <si>
    <t>tipos fwd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</si>
</sst>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0.000%"/>
    <numFmt numFmtId="165" formatCode="0.0000%"/>
    <numFmt numFmtId="166" formatCode="0.0%"/>
  </numFmts>
  <fonts count="9" x14ac:knownFonts="1">
    <font>
      <sz val="11"/>
      <color theme="1"/>
      <name val="Amasis MT Pro"/>
      <family val="2"/>
      <scheme val="minor"/>
    </font>
    <font>
      <sz val="11"/>
      <color theme="1"/>
      <name val="Amasis MT Pro"/>
      <family val="2"/>
      <scheme val="minor"/>
    </font>
    <font>
      <b/>
      <sz val="11"/>
      <color theme="1"/>
      <name val="Amasis MT Pro"/>
      <family val="2"/>
      <scheme val="minor"/>
    </font>
    <font>
      <i/>
      <sz val="11"/>
      <color theme="1"/>
      <name val="Amasis MT Pro"/>
      <family val="2"/>
      <scheme val="minor"/>
    </font>
    <font>
      <b/>
      <i/>
      <sz val="11"/>
      <color theme="1"/>
      <name val="Amasis MT Pro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Amasis MT Pro"/>
      <family val="2"/>
      <scheme val="minor"/>
    </font>
    <font>
      <b/>
      <i/>
      <sz val="11"/>
      <color theme="0"/>
      <name val="Amasis MT Pro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3">
    <xf numFmtId="0" fontId="0" fillId="0" borderId="0" xfId="0"/>
    <xf numFmtId="9" fontId="0" fillId="0" borderId="0" xfId="0" applyNumberFormat="1"/>
    <xf numFmtId="0" fontId="0" fillId="0" borderId="2" xfId="0" applyBorder="1" applyAlignment="1">
      <alignment horizontal="center"/>
    </xf>
    <xf numFmtId="10" fontId="1" fillId="0" borderId="0" xfId="1" applyNumberFormat="1" applyFon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5" fontId="1" fillId="0" borderId="4" xfId="1" applyNumberFormat="1" applyFont="1" applyBorder="1" applyAlignment="1">
      <alignment horizontal="center"/>
    </xf>
    <xf numFmtId="165" fontId="1" fillId="0" borderId="5" xfId="1" applyNumberFormat="1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164" fontId="2" fillId="3" borderId="3" xfId="0" applyNumberFormat="1" applyFont="1" applyFill="1" applyBorder="1" applyAlignment="1">
      <alignment horizontal="center"/>
    </xf>
    <xf numFmtId="164" fontId="2" fillId="3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0" fontId="0" fillId="0" borderId="1" xfId="0" applyBorder="1"/>
    <xf numFmtId="0" fontId="0" fillId="0" borderId="8" xfId="0" applyBorder="1"/>
    <xf numFmtId="0" fontId="2" fillId="5" borderId="1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2" xfId="0" applyFont="1" applyBorder="1" applyAlignment="1">
      <alignment horizontal="center"/>
    </xf>
    <xf numFmtId="164" fontId="1" fillId="0" borderId="0" xfId="1" applyNumberFormat="1" applyFont="1" applyBorder="1"/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166" fontId="2" fillId="5" borderId="9" xfId="0" applyNumberFormat="1" applyFont="1" applyFill="1" applyBorder="1" applyAlignment="1">
      <alignment horizontal="center"/>
    </xf>
    <xf numFmtId="164" fontId="0" fillId="0" borderId="0" xfId="0" applyNumberFormat="1"/>
    <xf numFmtId="44" fontId="1" fillId="4" borderId="3" xfId="2" applyFont="1" applyFill="1" applyBorder="1"/>
    <xf numFmtId="44" fontId="1" fillId="0" borderId="4" xfId="2" applyFont="1" applyBorder="1"/>
    <xf numFmtId="44" fontId="1" fillId="0" borderId="5" xfId="2" applyFont="1" applyBorder="1"/>
    <xf numFmtId="44" fontId="4" fillId="2" borderId="10" xfId="2" applyFont="1" applyFill="1" applyBorder="1"/>
    <xf numFmtId="10" fontId="1" fillId="0" borderId="14" xfId="1" applyNumberFormat="1" applyFont="1" applyBorder="1"/>
    <xf numFmtId="0" fontId="0" fillId="0" borderId="14" xfId="0" applyBorder="1"/>
    <xf numFmtId="10" fontId="1" fillId="0" borderId="0" xfId="1" applyNumberFormat="1" applyFont="1" applyBorder="1"/>
    <xf numFmtId="10" fontId="1" fillId="0" borderId="15" xfId="1" applyNumberFormat="1" applyFont="1" applyBorder="1"/>
    <xf numFmtId="0" fontId="0" fillId="0" borderId="15" xfId="0" applyBorder="1"/>
    <xf numFmtId="44" fontId="2" fillId="5" borderId="2" xfId="2" applyFont="1" applyFill="1" applyBorder="1" applyAlignment="1">
      <alignment horizontal="center"/>
    </xf>
    <xf numFmtId="0" fontId="8" fillId="6" borderId="11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7" fillId="6" borderId="11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9" fontId="7" fillId="6" borderId="10" xfId="0" applyNumberFormat="1" applyFont="1" applyFill="1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olores_Afi_2024">
  <a:themeElements>
    <a:clrScheme name="Afi_Paleta Pptx">
      <a:dk1>
        <a:srgbClr val="000000"/>
      </a:dk1>
      <a:lt1>
        <a:srgbClr val="FFFFFF"/>
      </a:lt1>
      <a:dk2>
        <a:srgbClr val="062C3F"/>
      </a:dk2>
      <a:lt2>
        <a:srgbClr val="F3F3F3"/>
      </a:lt2>
      <a:accent1>
        <a:srgbClr val="0085CA"/>
      </a:accent1>
      <a:accent2>
        <a:srgbClr val="C8DAE2"/>
      </a:accent2>
      <a:accent3>
        <a:srgbClr val="062C3F"/>
      </a:accent3>
      <a:accent4>
        <a:srgbClr val="0085CA"/>
      </a:accent4>
      <a:accent5>
        <a:srgbClr val="C8DAE2"/>
      </a:accent5>
      <a:accent6>
        <a:srgbClr val="F3F3F3"/>
      </a:accent6>
      <a:hlink>
        <a:srgbClr val="0085CA"/>
      </a:hlink>
      <a:folHlink>
        <a:srgbClr val="062C3F"/>
      </a:folHlink>
    </a:clrScheme>
    <a:fontScheme name="Afi">
      <a:majorFont>
        <a:latin typeface="Amasis MT Pro"/>
        <a:ea typeface=""/>
        <a:cs typeface=""/>
      </a:majorFont>
      <a:minorFont>
        <a:latin typeface="Amasis M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Tema_Afi_2024" id="{6B772454-601F-484F-9B93-12CDB0DD81FE}" vid="{8D9AA64B-FBED-4A4A-BCB4-18FC448ED8E1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D2:Q23"/>
  <sheetViews>
    <sheetView showGridLines="0" tabSelected="1" workbookViewId="0"/>
  </sheetViews>
  <sheetFormatPr defaultColWidth="11.36328125" defaultRowHeight="14.5" x14ac:dyDescent="0.35"/>
  <cols>
    <col min="9" max="9" width="24.26953125" customWidth="1"/>
    <col min="10" max="10" width="6.36328125" customWidth="1"/>
    <col min="13" max="13" width="12" bestFit="1" customWidth="1"/>
    <col min="16" max="16" width="12.36328125" customWidth="1"/>
    <col min="17" max="17" width="12.54296875" customWidth="1"/>
  </cols>
  <sheetData>
    <row r="2" spans="4:17" ht="15" thickBot="1" x14ac:dyDescent="0.4"/>
    <row r="3" spans="4:17" ht="15.5" thickBot="1" x14ac:dyDescent="0.45">
      <c r="D3" s="38" t="s">
        <v>0</v>
      </c>
      <c r="E3" s="39">
        <v>0.5</v>
      </c>
      <c r="J3" s="24" t="s">
        <v>3</v>
      </c>
      <c r="L3" s="15" t="s">
        <v>12</v>
      </c>
      <c r="M3" s="37">
        <v>1000</v>
      </c>
    </row>
    <row r="4" spans="4:17" ht="15.5" thickBot="1" x14ac:dyDescent="0.45">
      <c r="L4" s="16" t="s">
        <v>4</v>
      </c>
      <c r="M4" s="26">
        <v>8.0000000000000002E-3</v>
      </c>
    </row>
    <row r="5" spans="4:17" ht="15" thickBot="1" x14ac:dyDescent="0.4"/>
    <row r="6" spans="4:17" ht="15.5" thickBot="1" x14ac:dyDescent="0.45">
      <c r="D6" s="40" t="s">
        <v>6</v>
      </c>
      <c r="E6" s="41" t="s">
        <v>1</v>
      </c>
      <c r="G6" s="4" t="s">
        <v>17</v>
      </c>
    </row>
    <row r="7" spans="4:17" ht="15.5" thickBot="1" x14ac:dyDescent="0.45">
      <c r="D7" s="8">
        <v>0</v>
      </c>
      <c r="E7" s="10">
        <v>1</v>
      </c>
      <c r="G7" s="5"/>
      <c r="K7" s="17" t="s">
        <v>13</v>
      </c>
      <c r="L7" s="18" t="s">
        <v>5</v>
      </c>
      <c r="M7" s="18" t="s">
        <v>7</v>
      </c>
      <c r="N7" s="18" t="s">
        <v>8</v>
      </c>
      <c r="O7" s="18" t="s">
        <v>9</v>
      </c>
      <c r="P7" s="18" t="s">
        <v>10</v>
      </c>
      <c r="Q7" s="22" t="s">
        <v>16</v>
      </c>
    </row>
    <row r="8" spans="4:17" ht="15" x14ac:dyDescent="0.4">
      <c r="D8" s="8">
        <f t="shared" ref="D8:D21" si="0">D7+deltat</f>
        <v>0.5</v>
      </c>
      <c r="E8" s="11">
        <v>0.99560000000000004</v>
      </c>
      <c r="F8" s="27"/>
      <c r="G8" s="6"/>
      <c r="I8" s="13" t="s">
        <v>14</v>
      </c>
      <c r="J8" s="2">
        <v>0.5</v>
      </c>
      <c r="K8" s="13"/>
      <c r="L8" s="32"/>
      <c r="M8" s="33"/>
      <c r="N8" s="33"/>
      <c r="O8" s="32"/>
      <c r="P8" s="32"/>
      <c r="Q8" s="28"/>
    </row>
    <row r="9" spans="4:17" ht="15" x14ac:dyDescent="0.4">
      <c r="D9" s="8">
        <f t="shared" si="0"/>
        <v>1</v>
      </c>
      <c r="E9" s="11">
        <v>0.99282999999999999</v>
      </c>
      <c r="F9" s="27"/>
      <c r="G9" s="6"/>
      <c r="I9" s="19" t="s">
        <v>15</v>
      </c>
      <c r="J9" s="20">
        <f t="shared" ref="J9:J17" si="1">D9</f>
        <v>1</v>
      </c>
      <c r="K9" s="19"/>
      <c r="L9" s="34"/>
      <c r="O9" s="34"/>
      <c r="P9" s="34"/>
      <c r="Q9" s="29"/>
    </row>
    <row r="10" spans="4:17" ht="15" x14ac:dyDescent="0.4">
      <c r="D10" s="8">
        <f t="shared" si="0"/>
        <v>1.5</v>
      </c>
      <c r="E10" s="11">
        <v>0.98785999999999996</v>
      </c>
      <c r="F10" s="27"/>
      <c r="G10" s="6"/>
      <c r="I10" s="19" t="s">
        <v>15</v>
      </c>
      <c r="J10" s="20">
        <f t="shared" si="1"/>
        <v>1.5</v>
      </c>
      <c r="K10" s="19"/>
      <c r="L10" s="34"/>
      <c r="O10" s="34"/>
      <c r="P10" s="34"/>
      <c r="Q10" s="29"/>
    </row>
    <row r="11" spans="4:17" ht="15" x14ac:dyDescent="0.4">
      <c r="D11" s="8">
        <f t="shared" si="0"/>
        <v>2</v>
      </c>
      <c r="E11" s="11">
        <v>0.98145000000000004</v>
      </c>
      <c r="F11" s="27"/>
      <c r="G11" s="6"/>
      <c r="I11" s="19" t="s">
        <v>15</v>
      </c>
      <c r="J11" s="20">
        <f t="shared" si="1"/>
        <v>2</v>
      </c>
      <c r="K11" s="19"/>
      <c r="L11" s="34"/>
      <c r="O11" s="34"/>
      <c r="P11" s="34"/>
      <c r="Q11" s="29"/>
    </row>
    <row r="12" spans="4:17" ht="15" x14ac:dyDescent="0.4">
      <c r="D12" s="8">
        <f t="shared" si="0"/>
        <v>2.5</v>
      </c>
      <c r="E12" s="11">
        <v>0.97455999999999998</v>
      </c>
      <c r="F12" s="27"/>
      <c r="G12" s="6"/>
      <c r="I12" s="19" t="s">
        <v>15</v>
      </c>
      <c r="J12" s="20">
        <f t="shared" si="1"/>
        <v>2.5</v>
      </c>
      <c r="K12" s="19"/>
      <c r="L12" s="34"/>
      <c r="O12" s="34"/>
      <c r="P12" s="34"/>
      <c r="Q12" s="29"/>
    </row>
    <row r="13" spans="4:17" ht="15" x14ac:dyDescent="0.4">
      <c r="D13" s="8">
        <f t="shared" si="0"/>
        <v>3</v>
      </c>
      <c r="E13" s="11">
        <v>0.96845000000000003</v>
      </c>
      <c r="F13" s="27"/>
      <c r="G13" s="6"/>
      <c r="I13" s="19" t="s">
        <v>15</v>
      </c>
      <c r="J13" s="20">
        <f t="shared" si="1"/>
        <v>3</v>
      </c>
      <c r="K13" s="19"/>
      <c r="L13" s="34"/>
      <c r="O13" s="34"/>
      <c r="P13" s="34"/>
      <c r="Q13" s="29"/>
    </row>
    <row r="14" spans="4:17" ht="15" x14ac:dyDescent="0.4">
      <c r="D14" s="8">
        <f t="shared" si="0"/>
        <v>3.5</v>
      </c>
      <c r="E14" s="11">
        <v>0.95950999999999997</v>
      </c>
      <c r="F14" s="27"/>
      <c r="G14" s="6"/>
      <c r="I14" s="19" t="s">
        <v>15</v>
      </c>
      <c r="J14" s="20">
        <f t="shared" si="1"/>
        <v>3.5</v>
      </c>
      <c r="K14" s="19"/>
      <c r="L14" s="34"/>
      <c r="O14" s="34"/>
      <c r="P14" s="34"/>
      <c r="Q14" s="29"/>
    </row>
    <row r="15" spans="4:17" ht="15" x14ac:dyDescent="0.4">
      <c r="D15" s="8">
        <f t="shared" si="0"/>
        <v>4</v>
      </c>
      <c r="E15" s="11">
        <v>0.95230999999999999</v>
      </c>
      <c r="F15" s="27"/>
      <c r="G15" s="6"/>
      <c r="I15" s="19" t="s">
        <v>15</v>
      </c>
      <c r="J15" s="20">
        <f t="shared" si="1"/>
        <v>4</v>
      </c>
      <c r="K15" s="19"/>
      <c r="L15" s="34"/>
      <c r="O15" s="34"/>
      <c r="P15" s="34"/>
      <c r="Q15" s="29"/>
    </row>
    <row r="16" spans="4:17" ht="15" x14ac:dyDescent="0.4">
      <c r="D16" s="8">
        <f t="shared" si="0"/>
        <v>4.5</v>
      </c>
      <c r="E16" s="11">
        <v>0.94393000000000005</v>
      </c>
      <c r="F16" s="27"/>
      <c r="G16" s="6"/>
      <c r="I16" s="19" t="s">
        <v>15</v>
      </c>
      <c r="J16" s="20">
        <f t="shared" si="1"/>
        <v>4.5</v>
      </c>
      <c r="K16" s="19"/>
      <c r="L16" s="34"/>
      <c r="O16" s="34"/>
      <c r="P16" s="34"/>
      <c r="Q16" s="29"/>
    </row>
    <row r="17" spans="4:17" ht="15.5" thickBot="1" x14ac:dyDescent="0.45">
      <c r="D17" s="8">
        <f t="shared" si="0"/>
        <v>5</v>
      </c>
      <c r="E17" s="11">
        <v>0.93542999999999998</v>
      </c>
      <c r="F17" s="27"/>
      <c r="G17" s="6"/>
      <c r="I17" s="14" t="s">
        <v>15</v>
      </c>
      <c r="J17" s="21">
        <f t="shared" si="1"/>
        <v>5</v>
      </c>
      <c r="K17" s="14"/>
      <c r="L17" s="35"/>
      <c r="M17" s="36"/>
      <c r="N17" s="36"/>
      <c r="O17" s="35"/>
      <c r="P17" s="35"/>
      <c r="Q17" s="30"/>
    </row>
    <row r="18" spans="4:17" ht="15" x14ac:dyDescent="0.4">
      <c r="D18" s="8">
        <f t="shared" si="0"/>
        <v>5.5</v>
      </c>
      <c r="E18" s="11">
        <v>0.92920000000000003</v>
      </c>
      <c r="F18" s="27"/>
      <c r="G18" s="6"/>
      <c r="L18" s="3"/>
      <c r="O18" s="3"/>
      <c r="P18" s="3"/>
      <c r="Q18" s="23"/>
    </row>
    <row r="19" spans="4:17" ht="15.5" thickBot="1" x14ac:dyDescent="0.45">
      <c r="D19" s="8">
        <f t="shared" si="0"/>
        <v>6</v>
      </c>
      <c r="E19" s="11">
        <v>0.91952</v>
      </c>
      <c r="F19" s="27"/>
      <c r="G19" s="6"/>
      <c r="L19" s="3"/>
    </row>
    <row r="20" spans="4:17" ht="15.5" thickBot="1" x14ac:dyDescent="0.45">
      <c r="D20" s="8">
        <f t="shared" si="0"/>
        <v>6.5</v>
      </c>
      <c r="E20" s="11">
        <v>0.90983999999999998</v>
      </c>
      <c r="F20" s="27"/>
      <c r="G20" s="6"/>
      <c r="P20" s="25" t="s">
        <v>11</v>
      </c>
      <c r="Q20" s="31"/>
    </row>
    <row r="21" spans="4:17" ht="15.5" thickBot="1" x14ac:dyDescent="0.45">
      <c r="D21" s="9">
        <f t="shared" si="0"/>
        <v>7</v>
      </c>
      <c r="E21" s="12">
        <v>0.89834000000000003</v>
      </c>
      <c r="F21" s="27"/>
      <c r="G21" s="7"/>
    </row>
    <row r="22" spans="4:17" ht="15" thickBot="1" x14ac:dyDescent="0.4">
      <c r="E22" s="1"/>
    </row>
    <row r="23" spans="4:17" ht="15.5" thickBot="1" x14ac:dyDescent="0.45">
      <c r="D23" t="s">
        <v>2</v>
      </c>
      <c r="E23" s="42">
        <v>0.35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Hoja1</vt:lpstr>
      <vt:lpstr>deltat</vt:lpstr>
      <vt:lpstr>K</vt:lpstr>
      <vt:lpstr>nom</vt:lpstr>
      <vt:lpstr>vola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José Javier Calderón Coronado</cp:lastModifiedBy>
  <dcterms:created xsi:type="dcterms:W3CDTF">2010-02-26T14:13:33Z</dcterms:created>
  <dcterms:modified xsi:type="dcterms:W3CDTF">2025-04-03T11:08:17Z</dcterms:modified>
</cp:coreProperties>
</file>