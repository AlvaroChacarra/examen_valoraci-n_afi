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Consultoria\FORMACION\MASTERS CUANTITATIVOS\MFC 2022-2023\Valoración\Jota\Solución\"/>
    </mc:Choice>
  </mc:AlternateContent>
  <bookViews>
    <workbookView xWindow="-105" yWindow="-105" windowWidth="19425" windowHeight="10425"/>
  </bookViews>
  <sheets>
    <sheet name="Inputs" sheetId="1" r:id="rId1"/>
    <sheet name="Valoracion" sheetId="2" r:id="rId2"/>
  </sheets>
  <functionGroups builtInGroupCount="18"/>
  <externalReferences>
    <externalReference r:id="rId3"/>
  </externalReferences>
  <definedNames>
    <definedName name="CCC_Eonia">Inputs!$B$7:$C$42</definedName>
    <definedName name="CCC_EUR3M">Inputs!$E$7:$F$33</definedName>
    <definedName name="FV">Inputs!$C$2</definedName>
  </definedNames>
  <calcPr calcId="162913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2" i="2" l="1"/>
  <c r="P12" i="2" s="1"/>
  <c r="R12" i="2" s="1"/>
  <c r="D12" i="2"/>
  <c r="E12" i="2" s="1"/>
  <c r="D13" i="2" s="1"/>
  <c r="E13" i="2" s="1"/>
  <c r="D14" i="2" s="1"/>
  <c r="E14" i="2" s="1"/>
  <c r="D15" i="2" s="1"/>
  <c r="E15" i="2" s="1"/>
  <c r="D16" i="2" s="1"/>
  <c r="E16" i="2" s="1"/>
  <c r="D17" i="2" s="1"/>
  <c r="E17" i="2" s="1"/>
  <c r="D18" i="2" s="1"/>
  <c r="E18" i="2" s="1"/>
  <c r="D19" i="2" s="1"/>
  <c r="E19" i="2" s="1"/>
  <c r="D20" i="2" s="1"/>
  <c r="E20" i="2" s="1"/>
  <c r="D21" i="2" s="1"/>
  <c r="E21" i="2" s="1"/>
  <c r="D22" i="2" s="1"/>
  <c r="E22" i="2" s="1"/>
  <c r="D23" i="2" s="1"/>
  <c r="E23" i="2" s="1"/>
  <c r="D24" i="2" s="1"/>
  <c r="E24" i="2" s="1"/>
  <c r="D25" i="2" s="1"/>
  <c r="E25" i="2" s="1"/>
  <c r="D26" i="2" s="1"/>
  <c r="E26" i="2" s="1"/>
  <c r="D27" i="2" s="1"/>
  <c r="E27" i="2" s="1"/>
  <c r="D28" i="2" s="1"/>
  <c r="E28" i="2" s="1"/>
  <c r="D29" i="2" s="1"/>
  <c r="E29" i="2" s="1"/>
  <c r="D30" i="2" s="1"/>
  <c r="E30" i="2" s="1"/>
  <c r="D31" i="2" s="1"/>
  <c r="E31" i="2" s="1"/>
  <c r="G31" i="2" s="1"/>
  <c r="T12" i="2"/>
  <c r="J31" i="2"/>
  <c r="L31" i="2"/>
  <c r="O13" i="2" l="1"/>
  <c r="F12" i="2"/>
  <c r="B12" i="2"/>
  <c r="Q12" i="2"/>
  <c r="S12" i="2" s="1"/>
  <c r="F31" i="2"/>
  <c r="F29" i="2"/>
  <c r="F27" i="2"/>
  <c r="F25" i="2"/>
  <c r="F23" i="2"/>
  <c r="F21" i="2"/>
  <c r="F19" i="2"/>
  <c r="F17" i="2"/>
  <c r="F15" i="2"/>
  <c r="F13" i="2"/>
  <c r="G30" i="2"/>
  <c r="G28" i="2"/>
  <c r="G26" i="2"/>
  <c r="G24" i="2"/>
  <c r="G22" i="2"/>
  <c r="G20" i="2"/>
  <c r="G18" i="2"/>
  <c r="G16" i="2"/>
  <c r="G14" i="2"/>
  <c r="G12" i="2"/>
  <c r="F30" i="2"/>
  <c r="F28" i="2"/>
  <c r="F26" i="2"/>
  <c r="F24" i="2"/>
  <c r="F22" i="2"/>
  <c r="F20" i="2"/>
  <c r="F18" i="2"/>
  <c r="F16" i="2"/>
  <c r="F14" i="2"/>
  <c r="G29" i="2"/>
  <c r="G27" i="2"/>
  <c r="G25" i="2"/>
  <c r="G23" i="2"/>
  <c r="G21" i="2"/>
  <c r="G19" i="2"/>
  <c r="G17" i="2"/>
  <c r="G15" i="2"/>
  <c r="G13" i="2"/>
  <c r="L15" i="2"/>
  <c r="L13" i="2"/>
  <c r="J25" i="2"/>
  <c r="L18" i="2"/>
  <c r="L30" i="2"/>
  <c r="J16" i="2"/>
  <c r="L28" i="2"/>
  <c r="I26" i="2"/>
  <c r="I27" i="2"/>
  <c r="I31" i="2"/>
  <c r="I24" i="2"/>
  <c r="I12" i="2"/>
  <c r="J13" i="2"/>
  <c r="J12" i="2"/>
  <c r="I22" i="2"/>
  <c r="J30" i="2"/>
  <c r="L16" i="2"/>
  <c r="I19" i="2"/>
  <c r="I21" i="2"/>
  <c r="J23" i="2"/>
  <c r="J27" i="2"/>
  <c r="I28" i="2"/>
  <c r="I14" i="2"/>
  <c r="I23" i="2"/>
  <c r="L12" i="2"/>
  <c r="I18" i="2"/>
  <c r="I16" i="2"/>
  <c r="I30" i="2"/>
  <c r="I20" i="2"/>
  <c r="L29" i="2"/>
  <c r="J19" i="2"/>
  <c r="J26" i="2"/>
  <c r="L24" i="2"/>
  <c r="I17" i="2"/>
  <c r="L17" i="2"/>
  <c r="L23" i="2"/>
  <c r="I25" i="2"/>
  <c r="J14" i="2"/>
  <c r="L27" i="2"/>
  <c r="J17" i="2"/>
  <c r="L14" i="2"/>
  <c r="J20" i="2"/>
  <c r="J21" i="2"/>
  <c r="L26" i="2"/>
  <c r="J24" i="2"/>
  <c r="L20" i="2"/>
  <c r="I13" i="2"/>
  <c r="J22" i="2"/>
  <c r="L22" i="2"/>
  <c r="J15" i="2"/>
  <c r="J29" i="2"/>
  <c r="L25" i="2"/>
  <c r="J18" i="2"/>
  <c r="L21" i="2"/>
  <c r="I29" i="2"/>
  <c r="J28" i="2"/>
  <c r="L19" i="2"/>
  <c r="I15" i="2"/>
  <c r="H19" i="2" l="1"/>
  <c r="H27" i="2"/>
  <c r="H29" i="2"/>
  <c r="H16" i="2"/>
  <c r="H25" i="2"/>
  <c r="H18" i="2"/>
  <c r="H20" i="2"/>
  <c r="K20" i="2" s="1"/>
  <c r="H13" i="2"/>
  <c r="K13" i="2" s="1"/>
  <c r="H22" i="2"/>
  <c r="H15" i="2"/>
  <c r="H31" i="2"/>
  <c r="H24" i="2"/>
  <c r="H17" i="2"/>
  <c r="H26" i="2"/>
  <c r="K26" i="2" s="1"/>
  <c r="H28" i="2"/>
  <c r="K28" i="2" s="1"/>
  <c r="H21" i="2"/>
  <c r="K21" i="2" s="1"/>
  <c r="H12" i="2"/>
  <c r="H14" i="2"/>
  <c r="K14" i="2" s="1"/>
  <c r="H30" i="2"/>
  <c r="H23" i="2"/>
  <c r="Q13" i="2"/>
  <c r="P13" i="2"/>
  <c r="K22" i="2"/>
  <c r="K30" i="2"/>
  <c r="K31" i="2"/>
  <c r="K16" i="2"/>
  <c r="K24" i="2"/>
  <c r="K17" i="2"/>
  <c r="K18" i="2"/>
  <c r="K19" i="2"/>
  <c r="K27" i="2"/>
  <c r="K29" i="2"/>
  <c r="K23" i="2"/>
  <c r="K15" i="2"/>
  <c r="K25" i="2"/>
  <c r="K12" i="2" l="1"/>
  <c r="H2" i="2"/>
  <c r="R13" i="2"/>
  <c r="O14" i="2"/>
  <c r="T13" i="2"/>
  <c r="S13" i="2" l="1"/>
  <c r="P14" i="2"/>
  <c r="Q14" i="2"/>
  <c r="O15" i="2" l="1"/>
  <c r="R14" i="2"/>
  <c r="T14" i="2"/>
  <c r="Q15" i="2" l="1"/>
  <c r="P15" i="2"/>
  <c r="S14" i="2"/>
  <c r="O16" i="2" l="1"/>
  <c r="R15" i="2"/>
  <c r="T15" i="2"/>
  <c r="S15" i="2" l="1"/>
  <c r="P16" i="2"/>
  <c r="R16" i="2" s="1"/>
  <c r="Q16" i="2"/>
  <c r="T16" i="2"/>
  <c r="H6" i="2" l="1"/>
  <c r="S16" i="2"/>
  <c r="H3" i="2" s="1"/>
  <c r="H4" i="2" s="1"/>
</calcChain>
</file>

<file path=xl/sharedStrings.xml><?xml version="1.0" encoding="utf-8"?>
<sst xmlns="http://schemas.openxmlformats.org/spreadsheetml/2006/main" count="38" uniqueCount="29">
  <si>
    <t>FV</t>
  </si>
  <si>
    <t>CCC Eonia</t>
  </si>
  <si>
    <t>FD</t>
  </si>
  <si>
    <t>CCC EUR3M</t>
  </si>
  <si>
    <t>Fecha Inicio</t>
  </si>
  <si>
    <t>Fecha Fin</t>
  </si>
  <si>
    <t>Fecha Inicio Modificado</t>
  </si>
  <si>
    <t>Fecha Fin Modificado (Fechas de pago)</t>
  </si>
  <si>
    <t>Fracción Año</t>
  </si>
  <si>
    <t>Tipo Implícito (nivel)</t>
  </si>
  <si>
    <t>FD Descuento
Curva Eonia</t>
  </si>
  <si>
    <t>Fechas Fixing</t>
  </si>
  <si>
    <t>Fixing 
(EUR006M Index)</t>
  </si>
  <si>
    <t>F. Inicio</t>
  </si>
  <si>
    <t>F. Vto</t>
  </si>
  <si>
    <t>Base Vble</t>
  </si>
  <si>
    <t>Act/360</t>
  </si>
  <si>
    <t>Base fija</t>
  </si>
  <si>
    <t>30/360</t>
  </si>
  <si>
    <t xml:space="preserve">Cupón </t>
  </si>
  <si>
    <t>Nominal</t>
  </si>
  <si>
    <t>RAMA VARIABLE</t>
  </si>
  <si>
    <t>FD inicio nivel</t>
  </si>
  <si>
    <t>FD fin nivel</t>
  </si>
  <si>
    <t>RAMA FIJA</t>
  </si>
  <si>
    <t>Valor Rama Pago (Fija)</t>
  </si>
  <si>
    <t>Valor</t>
  </si>
  <si>
    <t>Valor Rama Recibo (Vble)</t>
  </si>
  <si>
    <t>Cupón de equilibrio: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</si>
</sst>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#,##0\ &quot;€&quot;"/>
    <numFmt numFmtId="166" formatCode="0.000%"/>
    <numFmt numFmtId="167" formatCode="0.00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84519"/>
        <bgColor indexed="64"/>
      </patternFill>
    </fill>
  </fills>
  <borders count="13">
    <border>
      <left/>
      <right/>
      <top/>
      <bottom/>
      <diagonal/>
    </border>
    <border>
      <left style="medium">
        <color rgb="FFD84519"/>
      </left>
      <right/>
      <top style="medium">
        <color rgb="FFD84519"/>
      </top>
      <bottom style="medium">
        <color rgb="FFD84519"/>
      </bottom>
      <diagonal/>
    </border>
    <border>
      <left/>
      <right style="medium">
        <color rgb="FFD84519"/>
      </right>
      <top style="medium">
        <color rgb="FFD84519"/>
      </top>
      <bottom style="medium">
        <color rgb="FFD84519"/>
      </bottom>
      <diagonal/>
    </border>
    <border>
      <left style="medium">
        <color rgb="FFD84519"/>
      </left>
      <right/>
      <top style="medium">
        <color rgb="FFD84519"/>
      </top>
      <bottom/>
      <diagonal/>
    </border>
    <border>
      <left/>
      <right style="medium">
        <color rgb="FFD84519"/>
      </right>
      <top style="medium">
        <color rgb="FFD84519"/>
      </top>
      <bottom/>
      <diagonal/>
    </border>
    <border>
      <left style="medium">
        <color rgb="FFD84519"/>
      </left>
      <right/>
      <top/>
      <bottom/>
      <diagonal/>
    </border>
    <border>
      <left/>
      <right style="medium">
        <color rgb="FFD84519"/>
      </right>
      <top/>
      <bottom/>
      <diagonal/>
    </border>
    <border>
      <left style="medium">
        <color rgb="FFD84519"/>
      </left>
      <right/>
      <top/>
      <bottom style="medium">
        <color rgb="FFD84519"/>
      </bottom>
      <diagonal/>
    </border>
    <border>
      <left/>
      <right style="medium">
        <color rgb="FFD84519"/>
      </right>
      <top/>
      <bottom style="medium">
        <color rgb="FFD84519"/>
      </bottom>
      <diagonal/>
    </border>
    <border>
      <left/>
      <right/>
      <top/>
      <bottom style="medium">
        <color rgb="FFD84519"/>
      </bottom>
      <diagonal/>
    </border>
    <border>
      <left/>
      <right/>
      <top style="medium">
        <color rgb="FFD84519"/>
      </top>
      <bottom style="medium">
        <color rgb="FFD84519"/>
      </bottom>
      <diagonal/>
    </border>
    <border>
      <left style="medium">
        <color rgb="FFD84519"/>
      </left>
      <right style="medium">
        <color rgb="FFD84519"/>
      </right>
      <top style="medium">
        <color rgb="FFD84519"/>
      </top>
      <bottom/>
      <diagonal/>
    </border>
    <border>
      <left style="medium">
        <color rgb="FFD84519"/>
      </left>
      <right style="medium">
        <color rgb="FFD84519"/>
      </right>
      <top style="medium">
        <color rgb="FFD84519"/>
      </top>
      <bottom style="medium">
        <color rgb="FFD8451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4" fontId="0" fillId="0" borderId="3" xfId="0" applyNumberFormat="1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8" xfId="0" applyBorder="1"/>
    <xf numFmtId="0" fontId="0" fillId="0" borderId="5" xfId="0" applyBorder="1"/>
    <xf numFmtId="0" fontId="0" fillId="0" borderId="7" xfId="0" applyBorder="1"/>
    <xf numFmtId="0" fontId="2" fillId="2" borderId="1" xfId="0" applyFont="1" applyFill="1" applyBorder="1" applyAlignment="1">
      <alignment horizontal="center"/>
    </xf>
    <xf numFmtId="14" fontId="0" fillId="0" borderId="2" xfId="0" applyNumberFormat="1" applyBorder="1"/>
    <xf numFmtId="14" fontId="0" fillId="0" borderId="4" xfId="0" applyNumberFormat="1" applyBorder="1" applyAlignment="1">
      <alignment horizontal="right"/>
    </xf>
    <xf numFmtId="14" fontId="0" fillId="0" borderId="6" xfId="0" applyNumberFormat="1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8" xfId="0" applyNumberFormat="1" applyBorder="1" applyAlignment="1">
      <alignment horizontal="right"/>
    </xf>
    <xf numFmtId="165" fontId="0" fillId="0" borderId="6" xfId="1" applyNumberFormat="1" applyFont="1" applyBorder="1" applyAlignment="1">
      <alignment horizontal="right"/>
    </xf>
    <xf numFmtId="14" fontId="0" fillId="0" borderId="0" xfId="0" applyNumberFormat="1" applyBorder="1"/>
    <xf numFmtId="0" fontId="2" fillId="2" borderId="3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0" fillId="0" borderId="0" xfId="0" applyBorder="1"/>
    <xf numFmtId="166" fontId="0" fillId="0" borderId="0" xfId="2" applyNumberFormat="1" applyFont="1" applyBorder="1"/>
    <xf numFmtId="0" fontId="0" fillId="0" borderId="9" xfId="0" applyBorder="1"/>
    <xf numFmtId="14" fontId="0" fillId="0" borderId="9" xfId="0" applyNumberFormat="1" applyBorder="1"/>
    <xf numFmtId="166" fontId="0" fillId="0" borderId="9" xfId="2" applyNumberFormat="1" applyFont="1" applyBorder="1"/>
    <xf numFmtId="0" fontId="4" fillId="0" borderId="0" xfId="0" applyFont="1" applyAlignment="1">
      <alignment horizontal="left"/>
    </xf>
    <xf numFmtId="164" fontId="0" fillId="0" borderId="4" xfId="0" applyNumberFormat="1" applyBorder="1"/>
    <xf numFmtId="164" fontId="0" fillId="0" borderId="6" xfId="0" applyNumberFormat="1" applyBorder="1"/>
    <xf numFmtId="0" fontId="2" fillId="2" borderId="1" xfId="0" applyFont="1" applyFill="1" applyBorder="1" applyAlignment="1">
      <alignment horizontal="center" vertical="center" wrapText="1"/>
    </xf>
    <xf numFmtId="164" fontId="0" fillId="0" borderId="8" xfId="0" applyNumberFormat="1" applyBorder="1"/>
    <xf numFmtId="4" fontId="0" fillId="0" borderId="0" xfId="0" applyNumberFormat="1"/>
    <xf numFmtId="166" fontId="0" fillId="0" borderId="0" xfId="2" applyNumberFormat="1" applyFont="1"/>
    <xf numFmtId="10" fontId="0" fillId="0" borderId="6" xfId="2" applyNumberFormat="1" applyFont="1" applyBorder="1"/>
    <xf numFmtId="10" fontId="0" fillId="0" borderId="8" xfId="2" applyNumberFormat="1" applyFont="1" applyBorder="1"/>
    <xf numFmtId="10" fontId="0" fillId="0" borderId="4" xfId="2" applyNumberFormat="1" applyFont="1" applyBorder="1" applyAlignment="1">
      <alignment horizontal="center"/>
    </xf>
    <xf numFmtId="10" fontId="0" fillId="0" borderId="6" xfId="2" applyNumberFormat="1" applyFont="1" applyBorder="1" applyAlignment="1">
      <alignment horizontal="center"/>
    </xf>
    <xf numFmtId="10" fontId="0" fillId="0" borderId="8" xfId="2" applyNumberFormat="1" applyFont="1" applyBorder="1" applyAlignment="1">
      <alignment horizontal="center"/>
    </xf>
    <xf numFmtId="167" fontId="0" fillId="0" borderId="0" xfId="2" applyNumberFormat="1" applyFont="1" applyBorder="1"/>
    <xf numFmtId="167" fontId="0" fillId="0" borderId="9" xfId="2" applyNumberFormat="1" applyFont="1" applyBorder="1"/>
    <xf numFmtId="167" fontId="0" fillId="0" borderId="6" xfId="2" applyNumberFormat="1" applyFont="1" applyBorder="1"/>
    <xf numFmtId="167" fontId="0" fillId="0" borderId="8" xfId="2" applyNumberFormat="1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2" borderId="12" xfId="0" applyFont="1" applyFill="1" applyBorder="1" applyAlignment="1">
      <alignment horizontal="center" vertical="center" wrapText="1"/>
    </xf>
    <xf numFmtId="166" fontId="0" fillId="0" borderId="12" xfId="2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3</xdr:row>
      <xdr:rowOff>85724</xdr:rowOff>
    </xdr:from>
    <xdr:to>
      <xdr:col>19</xdr:col>
      <xdr:colOff>581025</xdr:colOff>
      <xdr:row>14</xdr:row>
      <xdr:rowOff>123824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38800" y="676274"/>
          <a:ext cx="7277100" cy="2162175"/>
        </a:xfrm>
        <a:prstGeom prst="roundRect">
          <a:avLst/>
        </a:prstGeom>
        <a:ln>
          <a:solidFill>
            <a:srgbClr val="D84519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/>
            <a:t>Valorar un forward swap cuyas</a:t>
          </a:r>
          <a:r>
            <a:rPr lang="es-ES" sz="1400" baseline="0"/>
            <a:t> características sean</a:t>
          </a:r>
          <a:r>
            <a:rPr lang="es-ES" sz="1400"/>
            <a:t>:</a:t>
          </a:r>
        </a:p>
        <a:p>
          <a:pPr algn="l"/>
          <a:endParaRPr lang="es-ES" sz="1400"/>
        </a:p>
        <a:p>
          <a:pPr algn="l"/>
          <a:r>
            <a:rPr lang="es-ES" sz="1400" baseline="0"/>
            <a:t>     - </a:t>
          </a:r>
          <a:r>
            <a:rPr lang="es-ES" sz="1400" b="1" baseline="0"/>
            <a:t>Fecha de inicio</a:t>
          </a:r>
          <a:r>
            <a:rPr lang="es-ES" sz="1400" baseline="0"/>
            <a:t>: 15 de abril de 2018.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de vencimiento / plazo 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15 de abril de 2023 (5 años).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Rama de recibo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Euribor 3 meses fijado y pagado trimestralmente, base act/360.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de pago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fijo anual de 0.60%, base 30/360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Nominal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100,000€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Convención del día hábil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Modified Following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400">
            <a:effectLst/>
          </a:endParaRPr>
        </a:p>
        <a:p>
          <a:pPr algn="l"/>
          <a:endParaRPr lang="es-E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nsultoria/M/AFI/Repositorio/XLAS/INTERP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polacion"/>
      <sheetName val="Sheet1"/>
    </sheetNames>
    <definedNames>
      <definedName name="interpol"/>
    </definedNames>
    <sheetDataSet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4"/>
  <sheetViews>
    <sheetView showGridLines="0" tabSelected="1" workbookViewId="0"/>
  </sheetViews>
  <sheetFormatPr defaultColWidth="0" defaultRowHeight="15" zeroHeight="1" x14ac:dyDescent="0.25"/>
  <cols>
    <col min="1" max="1" width="9.140625" customWidth="1"/>
    <col min="2" max="2" width="10.7109375" bestFit="1" customWidth="1"/>
    <col min="3" max="3" width="12" bestFit="1" customWidth="1"/>
    <col min="4" max="4" width="9.140625" customWidth="1"/>
    <col min="5" max="5" width="10.7109375" bestFit="1" customWidth="1"/>
    <col min="6" max="9" width="9.140625" customWidth="1"/>
    <col min="10" max="10" width="9.7109375" bestFit="1" customWidth="1"/>
    <col min="11" max="11" width="13.85546875" customWidth="1"/>
    <col min="12" max="22" width="9.140625" customWidth="1"/>
    <col min="23" max="16384" width="9.140625" hidden="1"/>
  </cols>
  <sheetData>
    <row r="1" spans="2:6" ht="15.75" thickBot="1" x14ac:dyDescent="0.3"/>
    <row r="2" spans="2:6" ht="15.75" thickBot="1" x14ac:dyDescent="0.3">
      <c r="B2" s="10" t="s">
        <v>0</v>
      </c>
      <c r="C2" s="11">
        <v>43131</v>
      </c>
    </row>
    <row r="3" spans="2:6" x14ac:dyDescent="0.25"/>
    <row r="4" spans="2:6" ht="15.75" thickBot="1" x14ac:dyDescent="0.3"/>
    <row r="5" spans="2:6" ht="15.75" thickBot="1" x14ac:dyDescent="0.3">
      <c r="B5" s="41" t="s">
        <v>1</v>
      </c>
      <c r="C5" s="42"/>
      <c r="E5" s="41" t="s">
        <v>3</v>
      </c>
      <c r="F5" s="42"/>
    </row>
    <row r="6" spans="2:6" ht="15.75" thickBot="1" x14ac:dyDescent="0.3">
      <c r="B6" s="1" t="s">
        <v>0</v>
      </c>
      <c r="C6" s="2" t="s">
        <v>2</v>
      </c>
      <c r="E6" s="1" t="s">
        <v>0</v>
      </c>
      <c r="F6" s="2" t="s">
        <v>2</v>
      </c>
    </row>
    <row r="7" spans="2:6" x14ac:dyDescent="0.25">
      <c r="B7" s="3">
        <v>43131</v>
      </c>
      <c r="C7" s="34">
        <v>1</v>
      </c>
      <c r="E7" s="4">
        <v>43131</v>
      </c>
      <c r="F7" s="32">
        <v>1</v>
      </c>
    </row>
    <row r="8" spans="2:6" x14ac:dyDescent="0.25">
      <c r="B8" s="4">
        <v>43136</v>
      </c>
      <c r="C8" s="35">
        <v>1.00003</v>
      </c>
      <c r="E8" s="4">
        <v>43136</v>
      </c>
      <c r="F8" s="32">
        <v>1.00003</v>
      </c>
    </row>
    <row r="9" spans="2:6" x14ac:dyDescent="0.25">
      <c r="B9" s="4">
        <v>43140</v>
      </c>
      <c r="C9" s="35">
        <v>1.0000690000000001</v>
      </c>
      <c r="E9" s="4">
        <v>43140</v>
      </c>
      <c r="F9" s="32">
        <v>1.0000739999999999</v>
      </c>
    </row>
    <row r="10" spans="2:6" x14ac:dyDescent="0.25">
      <c r="B10" s="4">
        <v>43147</v>
      </c>
      <c r="C10" s="35">
        <v>1.0001389999999999</v>
      </c>
      <c r="E10" s="4">
        <v>43161</v>
      </c>
      <c r="F10" s="32">
        <v>1.0002869999999999</v>
      </c>
    </row>
    <row r="11" spans="2:6" x14ac:dyDescent="0.25">
      <c r="B11" s="4">
        <v>43161</v>
      </c>
      <c r="C11" s="35">
        <v>1.00027</v>
      </c>
      <c r="E11" s="4">
        <v>43193</v>
      </c>
      <c r="F11" s="32">
        <v>1.000569</v>
      </c>
    </row>
    <row r="12" spans="2:6" x14ac:dyDescent="0.25">
      <c r="B12" s="4">
        <v>43193</v>
      </c>
      <c r="C12" s="35">
        <v>1.000567</v>
      </c>
      <c r="E12" s="4">
        <v>43222</v>
      </c>
      <c r="F12" s="32">
        <v>1.000812</v>
      </c>
    </row>
    <row r="13" spans="2:6" x14ac:dyDescent="0.25">
      <c r="B13" s="4">
        <v>43222</v>
      </c>
      <c r="C13" s="35">
        <v>1.0008410000000001</v>
      </c>
      <c r="E13" s="4">
        <v>43314</v>
      </c>
      <c r="F13" s="32">
        <v>1.0014050000000001</v>
      </c>
    </row>
    <row r="14" spans="2:6" x14ac:dyDescent="0.25">
      <c r="B14" s="4">
        <v>43255</v>
      </c>
      <c r="C14" s="35">
        <v>1.0011540000000001</v>
      </c>
      <c r="E14" s="4">
        <v>43406</v>
      </c>
      <c r="F14" s="32">
        <v>1.0016860000000001</v>
      </c>
    </row>
    <row r="15" spans="2:6" x14ac:dyDescent="0.25">
      <c r="B15" s="4">
        <v>43283</v>
      </c>
      <c r="C15" s="35">
        <v>1.0014190000000001</v>
      </c>
      <c r="E15" s="4">
        <v>43500</v>
      </c>
      <c r="F15" s="32">
        <v>1.001951</v>
      </c>
    </row>
    <row r="16" spans="2:6" x14ac:dyDescent="0.25">
      <c r="B16" s="4">
        <v>43314</v>
      </c>
      <c r="C16" s="35">
        <v>1.0017119999999999</v>
      </c>
      <c r="E16" s="4">
        <v>43864</v>
      </c>
      <c r="F16" s="32">
        <v>1.0036160000000001</v>
      </c>
    </row>
    <row r="17" spans="2:6" x14ac:dyDescent="0.25">
      <c r="B17" s="4">
        <v>43346</v>
      </c>
      <c r="C17" s="35">
        <v>1.0020659999999999</v>
      </c>
      <c r="E17" s="4">
        <v>44229</v>
      </c>
      <c r="F17" s="32">
        <v>0.99946199999999996</v>
      </c>
    </row>
    <row r="18" spans="2:6" x14ac:dyDescent="0.25">
      <c r="B18" s="4">
        <v>43375</v>
      </c>
      <c r="C18" s="35">
        <v>1.002335</v>
      </c>
      <c r="E18" s="4">
        <v>44594</v>
      </c>
      <c r="F18" s="32">
        <v>0.99125700000000005</v>
      </c>
    </row>
    <row r="19" spans="2:6" x14ac:dyDescent="0.25">
      <c r="B19" s="4">
        <v>43406</v>
      </c>
      <c r="C19" s="35">
        <v>1.002642</v>
      </c>
      <c r="E19" s="4">
        <v>44959</v>
      </c>
      <c r="F19" s="32">
        <v>0.980263</v>
      </c>
    </row>
    <row r="20" spans="2:6" x14ac:dyDescent="0.25">
      <c r="B20" s="4">
        <v>43437</v>
      </c>
      <c r="C20" s="35">
        <v>1.002937</v>
      </c>
      <c r="E20" s="4">
        <v>45324</v>
      </c>
      <c r="F20" s="32">
        <v>0.96758</v>
      </c>
    </row>
    <row r="21" spans="2:6" x14ac:dyDescent="0.25">
      <c r="B21" s="4">
        <v>43467</v>
      </c>
      <c r="C21" s="35">
        <v>1.0032110000000001</v>
      </c>
      <c r="E21" s="4">
        <v>45691</v>
      </c>
      <c r="F21" s="32">
        <v>0.95354700000000003</v>
      </c>
    </row>
    <row r="22" spans="2:6" x14ac:dyDescent="0.25">
      <c r="B22" s="4">
        <v>43500</v>
      </c>
      <c r="C22" s="35">
        <v>1.003376</v>
      </c>
      <c r="E22" s="4">
        <v>46055</v>
      </c>
      <c r="F22" s="32">
        <v>0.93825400000000003</v>
      </c>
    </row>
    <row r="23" spans="2:6" x14ac:dyDescent="0.25">
      <c r="B23" s="4">
        <v>43679</v>
      </c>
      <c r="C23" s="35">
        <v>1.0045790000000001</v>
      </c>
      <c r="E23" s="4">
        <v>46420</v>
      </c>
      <c r="F23" s="32">
        <v>0.92198800000000003</v>
      </c>
    </row>
    <row r="24" spans="2:6" x14ac:dyDescent="0.25">
      <c r="B24" s="4">
        <v>43864</v>
      </c>
      <c r="C24" s="35">
        <v>1.0045869999999999</v>
      </c>
      <c r="E24" s="4">
        <v>46785</v>
      </c>
      <c r="F24" s="32">
        <v>0.90515199999999996</v>
      </c>
    </row>
    <row r="25" spans="2:6" x14ac:dyDescent="0.25">
      <c r="B25" s="4">
        <v>44046</v>
      </c>
      <c r="C25" s="35">
        <v>1.0034879999999999</v>
      </c>
      <c r="E25" s="4">
        <v>47151</v>
      </c>
      <c r="F25" s="32">
        <v>0.88770499999999997</v>
      </c>
    </row>
    <row r="26" spans="2:6" x14ac:dyDescent="0.25">
      <c r="B26" s="4">
        <v>44229</v>
      </c>
      <c r="C26" s="35">
        <v>1.001374</v>
      </c>
      <c r="E26" s="4">
        <v>47518</v>
      </c>
      <c r="F26" s="32">
        <v>0.87007500000000004</v>
      </c>
    </row>
    <row r="27" spans="2:6" x14ac:dyDescent="0.25">
      <c r="B27" s="4">
        <v>44594</v>
      </c>
      <c r="C27" s="35">
        <v>0.99402900000000005</v>
      </c>
      <c r="E27" s="4">
        <v>48612</v>
      </c>
      <c r="F27" s="32">
        <v>0.81815199999999999</v>
      </c>
    </row>
    <row r="28" spans="2:6" x14ac:dyDescent="0.25">
      <c r="B28" s="4">
        <v>44959</v>
      </c>
      <c r="C28" s="35">
        <v>0.98411300000000002</v>
      </c>
      <c r="E28" s="4">
        <v>50438</v>
      </c>
      <c r="F28" s="32">
        <v>0.74131499999999995</v>
      </c>
    </row>
    <row r="29" spans="2:6" x14ac:dyDescent="0.25">
      <c r="B29" s="4">
        <v>45324</v>
      </c>
      <c r="C29" s="35">
        <v>0.97231199999999995</v>
      </c>
      <c r="E29" s="4">
        <v>52264</v>
      </c>
      <c r="F29" s="32">
        <v>0.68026799999999998</v>
      </c>
    </row>
    <row r="30" spans="2:6" x14ac:dyDescent="0.25">
      <c r="B30" s="4">
        <v>45691</v>
      </c>
      <c r="C30" s="35">
        <v>0.95919500000000002</v>
      </c>
      <c r="E30" s="4">
        <v>54091</v>
      </c>
      <c r="F30" s="32">
        <v>0.62878100000000003</v>
      </c>
    </row>
    <row r="31" spans="2:6" x14ac:dyDescent="0.25">
      <c r="B31" s="4">
        <v>46055</v>
      </c>
      <c r="C31" s="35">
        <v>0.94478899999999999</v>
      </c>
      <c r="E31" s="4">
        <v>55918</v>
      </c>
      <c r="F31" s="32">
        <v>0.57908599999999999</v>
      </c>
    </row>
    <row r="32" spans="2:6" x14ac:dyDescent="0.25">
      <c r="B32" s="4">
        <v>46420</v>
      </c>
      <c r="C32" s="35">
        <v>0.92917099999999997</v>
      </c>
      <c r="E32" s="4">
        <v>57745</v>
      </c>
      <c r="F32" s="32">
        <v>0.53816299999999995</v>
      </c>
    </row>
    <row r="33" spans="2:6" ht="15.75" thickBot="1" x14ac:dyDescent="0.3">
      <c r="B33" s="4">
        <v>46785</v>
      </c>
      <c r="C33" s="35">
        <v>0.91300800000000004</v>
      </c>
      <c r="E33" s="6">
        <v>61395</v>
      </c>
      <c r="F33" s="33">
        <v>0.47559800000000002</v>
      </c>
    </row>
    <row r="34" spans="2:6" x14ac:dyDescent="0.25">
      <c r="B34" s="4">
        <v>47151</v>
      </c>
      <c r="C34" s="35">
        <v>0.89624499999999996</v>
      </c>
    </row>
    <row r="35" spans="2:6" x14ac:dyDescent="0.25">
      <c r="B35" s="4">
        <v>47518</v>
      </c>
      <c r="C35" s="35">
        <v>0.879382</v>
      </c>
    </row>
    <row r="36" spans="2:6" x14ac:dyDescent="0.25">
      <c r="B36" s="4">
        <v>48612</v>
      </c>
      <c r="C36" s="35">
        <v>0.82901400000000003</v>
      </c>
    </row>
    <row r="37" spans="2:6" x14ac:dyDescent="0.25">
      <c r="B37" s="4">
        <v>50438</v>
      </c>
      <c r="C37" s="35">
        <v>0.75407999999999997</v>
      </c>
    </row>
    <row r="38" spans="2:6" x14ac:dyDescent="0.25">
      <c r="B38" s="4">
        <v>52264</v>
      </c>
      <c r="C38" s="35">
        <v>0.69376300000000002</v>
      </c>
    </row>
    <row r="39" spans="2:6" x14ac:dyDescent="0.25">
      <c r="B39" s="4">
        <v>54091</v>
      </c>
      <c r="C39" s="35">
        <v>0.64281699999999997</v>
      </c>
    </row>
    <row r="40" spans="2:6" x14ac:dyDescent="0.25">
      <c r="B40" s="4">
        <v>55918</v>
      </c>
      <c r="C40" s="35">
        <v>0.59702999999999995</v>
      </c>
    </row>
    <row r="41" spans="2:6" x14ac:dyDescent="0.25">
      <c r="B41" s="4">
        <v>57745</v>
      </c>
      <c r="C41" s="35">
        <v>0.55394299999999996</v>
      </c>
    </row>
    <row r="42" spans="2:6" ht="15.75" thickBot="1" x14ac:dyDescent="0.3">
      <c r="B42" s="6">
        <v>61395</v>
      </c>
      <c r="C42" s="36">
        <v>0.48939300000000002</v>
      </c>
    </row>
    <row r="43" spans="2:6" x14ac:dyDescent="0.25"/>
    <row r="44" spans="2:6" x14ac:dyDescent="0.25"/>
    <row r="45" spans="2:6" x14ac:dyDescent="0.25"/>
    <row r="46" spans="2:6" x14ac:dyDescent="0.25"/>
    <row r="47" spans="2:6" x14ac:dyDescent="0.25"/>
    <row r="48" spans="2: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</sheetData>
  <mergeCells count="2">
    <mergeCell ref="B5:C5"/>
    <mergeCell ref="E5:F5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72"/>
  <sheetViews>
    <sheetView showGridLines="0" workbookViewId="0"/>
  </sheetViews>
  <sheetFormatPr defaultColWidth="9.140625" defaultRowHeight="15" x14ac:dyDescent="0.25"/>
  <cols>
    <col min="2" max="2" width="12.7109375" bestFit="1" customWidth="1"/>
    <col min="3" max="3" width="23.28515625" bestFit="1" customWidth="1"/>
    <col min="4" max="4" width="11.5703125" bestFit="1" customWidth="1"/>
    <col min="5" max="5" width="10.7109375" bestFit="1" customWidth="1"/>
    <col min="6" max="6" width="17.28515625" customWidth="1"/>
    <col min="7" max="7" width="25.7109375" customWidth="1"/>
    <col min="8" max="8" width="15" bestFit="1" customWidth="1"/>
    <col min="9" max="10" width="12.28515625" customWidth="1"/>
    <col min="11" max="11" width="15.28515625" customWidth="1"/>
    <col min="12" max="12" width="25" bestFit="1" customWidth="1"/>
    <col min="15" max="15" width="10.7109375" bestFit="1" customWidth="1"/>
    <col min="16" max="16" width="11.28515625" customWidth="1"/>
    <col min="17" max="17" width="15.28515625" customWidth="1"/>
    <col min="18" max="18" width="20.5703125" customWidth="1"/>
    <col min="20" max="20" width="14.28515625" customWidth="1"/>
  </cols>
  <sheetData>
    <row r="1" spans="2:20" ht="15.75" thickBot="1" x14ac:dyDescent="0.3"/>
    <row r="2" spans="2:20" ht="15.75" thickBot="1" x14ac:dyDescent="0.3">
      <c r="B2" s="1" t="s">
        <v>13</v>
      </c>
      <c r="C2" s="12">
        <v>43205</v>
      </c>
      <c r="G2" s="18" t="s">
        <v>27</v>
      </c>
      <c r="H2" s="26">
        <f>+SUMPRODUCT(H12:H31,K12:K31,L12:L31)*C6</f>
        <v>230731.85156188614</v>
      </c>
    </row>
    <row r="3" spans="2:20" ht="15.75" thickBot="1" x14ac:dyDescent="0.3">
      <c r="B3" s="1" t="s">
        <v>14</v>
      </c>
      <c r="C3" s="13">
        <v>45031</v>
      </c>
      <c r="G3" s="18" t="s">
        <v>25</v>
      </c>
      <c r="H3" s="27">
        <f>+SUMPRODUCT(S12:S16,T12:T16)*C7*C6</f>
        <v>299061.52289238613</v>
      </c>
    </row>
    <row r="4" spans="2:20" ht="15.75" thickBot="1" x14ac:dyDescent="0.3">
      <c r="B4" s="1" t="s">
        <v>15</v>
      </c>
      <c r="C4" s="14" t="s">
        <v>16</v>
      </c>
      <c r="D4" s="25">
        <v>2</v>
      </c>
      <c r="G4" s="28" t="s">
        <v>26</v>
      </c>
      <c r="H4" s="29">
        <f>H2-H3</f>
        <v>-68329.671330499987</v>
      </c>
    </row>
    <row r="5" spans="2:20" ht="15.75" thickBot="1" x14ac:dyDescent="0.3">
      <c r="B5" s="1" t="s">
        <v>17</v>
      </c>
      <c r="C5" s="14" t="s">
        <v>18</v>
      </c>
      <c r="D5" s="25">
        <v>4</v>
      </c>
      <c r="H5" s="30"/>
      <c r="I5" s="31"/>
    </row>
    <row r="6" spans="2:20" ht="15.75" thickBot="1" x14ac:dyDescent="0.3">
      <c r="B6" s="1" t="s">
        <v>20</v>
      </c>
      <c r="C6" s="16">
        <v>10000000</v>
      </c>
      <c r="G6" s="46" t="s">
        <v>28</v>
      </c>
      <c r="H6" s="47">
        <f>H2/SUMPRODUCT(S12:S16,T12:T16)/C6</f>
        <v>4.6291181024630638E-3</v>
      </c>
    </row>
    <row r="7" spans="2:20" ht="15.75" thickBot="1" x14ac:dyDescent="0.3">
      <c r="B7" s="10" t="s">
        <v>19</v>
      </c>
      <c r="C7" s="15">
        <v>6.0000000000000001E-3</v>
      </c>
    </row>
    <row r="9" spans="2:20" ht="15.75" thickBot="1" x14ac:dyDescent="0.3"/>
    <row r="10" spans="2:20" ht="15.75" thickBot="1" x14ac:dyDescent="0.3">
      <c r="B10" s="43" t="s">
        <v>21</v>
      </c>
      <c r="C10" s="44"/>
      <c r="D10" s="44"/>
      <c r="E10" s="44"/>
      <c r="F10" s="44"/>
      <c r="G10" s="44"/>
      <c r="H10" s="44"/>
      <c r="I10" s="44"/>
      <c r="J10" s="44"/>
      <c r="K10" s="44"/>
      <c r="L10" s="45"/>
      <c r="O10" s="43" t="s">
        <v>24</v>
      </c>
      <c r="P10" s="44"/>
      <c r="Q10" s="44"/>
      <c r="R10" s="44"/>
      <c r="S10" s="44"/>
      <c r="T10" s="45"/>
    </row>
    <row r="11" spans="2:20" ht="30" x14ac:dyDescent="0.25">
      <c r="B11" s="18" t="s">
        <v>11</v>
      </c>
      <c r="C11" s="18" t="s">
        <v>12</v>
      </c>
      <c r="D11" s="18" t="s">
        <v>4</v>
      </c>
      <c r="E11" s="18" t="s">
        <v>5</v>
      </c>
      <c r="F11" s="18" t="s">
        <v>6</v>
      </c>
      <c r="G11" s="18" t="s">
        <v>7</v>
      </c>
      <c r="H11" s="18" t="s">
        <v>8</v>
      </c>
      <c r="I11" s="18" t="s">
        <v>22</v>
      </c>
      <c r="J11" s="18" t="s">
        <v>23</v>
      </c>
      <c r="K11" s="18" t="s">
        <v>9</v>
      </c>
      <c r="L11" s="19" t="s">
        <v>10</v>
      </c>
      <c r="O11" s="18" t="s">
        <v>4</v>
      </c>
      <c r="P11" s="18" t="s">
        <v>5</v>
      </c>
      <c r="Q11" s="18" t="s">
        <v>6</v>
      </c>
      <c r="R11" s="18" t="s">
        <v>7</v>
      </c>
      <c r="S11" s="18" t="s">
        <v>8</v>
      </c>
      <c r="T11" s="19" t="s">
        <v>10</v>
      </c>
    </row>
    <row r="12" spans="2:20" x14ac:dyDescent="0.25">
      <c r="B12" s="4">
        <f>+WORKDAY(D12,-2)</f>
        <v>43202</v>
      </c>
      <c r="C12" s="20"/>
      <c r="D12" s="17">
        <f>+$C$2</f>
        <v>43205</v>
      </c>
      <c r="E12" s="17">
        <f t="shared" ref="E12:E31" si="0">+EDATE(D12,3)</f>
        <v>43296</v>
      </c>
      <c r="F12" s="17">
        <f t="shared" ref="F12:F31" si="1">IF(WEEKDAY(D12)=7,D12+2,IF(WEEKDAY(D12)=1,D12+1,D12))</f>
        <v>43206</v>
      </c>
      <c r="G12" s="17">
        <f t="shared" ref="G12:G31" si="2">IF(WEEKDAY(E12)=7,E12+2,IF(WEEKDAY(E12)=1,E12+1,E12))</f>
        <v>43297</v>
      </c>
      <c r="H12" s="20">
        <f>+YEARFRAC(F12,G12,$D$4)</f>
        <v>0.25277777777777777</v>
      </c>
      <c r="I12" s="37">
        <f t="shared" ref="I12:I31" si="3">[1]!interpol(F12,CCC_EUR3M)</f>
        <v>1.0006779237374164</v>
      </c>
      <c r="J12" s="37">
        <f t="shared" ref="J12:J31" si="4">[1]!interpol(G12,CCC_EUR3M)</f>
        <v>1.0012953974548731</v>
      </c>
      <c r="K12" s="21">
        <f t="shared" ref="K12:K31" si="5">+(I12/J12-1)/H12</f>
        <v>-2.439592925494114E-3</v>
      </c>
      <c r="L12" s="39">
        <f t="shared" ref="L12:L31" si="6">[1]!interpol(G12,CCC_Eonia)</f>
        <v>1.0015513119666861</v>
      </c>
      <c r="O12" s="4">
        <f t="shared" ref="O12" si="7">+$C$2</f>
        <v>43205</v>
      </c>
      <c r="P12" s="17">
        <f t="shared" ref="P12:P16" si="8">+EDATE(O12,12)</f>
        <v>43570</v>
      </c>
      <c r="Q12" s="17">
        <f t="shared" ref="Q12:Q16" si="9">IF(WEEKDAY(O12)=7,O12+2,IF(WEEKDAY(O12)=1,O12+1,O12))</f>
        <v>43206</v>
      </c>
      <c r="R12" s="17">
        <f t="shared" ref="R12:R16" si="10">IF(WEEKDAY(P12)=7,P12+2,IF(WEEKDAY(P12)=1,P12+1,P12))</f>
        <v>43570</v>
      </c>
      <c r="S12" s="20">
        <f t="shared" ref="S12:S16" si="11">+YEARFRAC(Q12,R12,$D$5)</f>
        <v>0.99722222222222223</v>
      </c>
      <c r="T12" s="5">
        <f>[1]!interpol(R12,CCC_Eonia)</f>
        <v>1.003846275303818</v>
      </c>
    </row>
    <row r="13" spans="2:20" x14ac:dyDescent="0.25">
      <c r="B13" s="8"/>
      <c r="C13" s="20"/>
      <c r="D13" s="17">
        <f t="shared" ref="D13:D31" si="12">+E12</f>
        <v>43296</v>
      </c>
      <c r="E13" s="17">
        <f t="shared" si="0"/>
        <v>43388</v>
      </c>
      <c r="F13" s="17">
        <f t="shared" si="1"/>
        <v>43297</v>
      </c>
      <c r="G13" s="17">
        <f t="shared" si="2"/>
        <v>43388</v>
      </c>
      <c r="H13" s="20">
        <f t="shared" ref="H13:H31" si="13">+YEARFRAC(F13,G13,$D$4)</f>
        <v>0.25277777777777777</v>
      </c>
      <c r="I13" s="37">
        <f t="shared" si="3"/>
        <v>1.0012953974548731</v>
      </c>
      <c r="J13" s="37">
        <f t="shared" si="4"/>
        <v>1.0016310155354005</v>
      </c>
      <c r="K13" s="21">
        <f t="shared" si="5"/>
        <v>-1.3255578735245248E-3</v>
      </c>
      <c r="L13" s="39">
        <f t="shared" si="6"/>
        <v>1.0024637304894177</v>
      </c>
      <c r="O13" s="4">
        <f t="shared" ref="O13:O16" si="14">+P12</f>
        <v>43570</v>
      </c>
      <c r="P13" s="17">
        <f t="shared" si="8"/>
        <v>43936</v>
      </c>
      <c r="Q13" s="17">
        <f t="shared" si="9"/>
        <v>43570</v>
      </c>
      <c r="R13" s="17">
        <f t="shared" si="10"/>
        <v>43936</v>
      </c>
      <c r="S13" s="20">
        <f t="shared" si="11"/>
        <v>1</v>
      </c>
      <c r="T13" s="5">
        <f>[1]!interpol(R13,CCC_Eonia)</f>
        <v>1.0041520869508362</v>
      </c>
    </row>
    <row r="14" spans="2:20" x14ac:dyDescent="0.25">
      <c r="B14" s="8"/>
      <c r="C14" s="20"/>
      <c r="D14" s="17">
        <f t="shared" si="12"/>
        <v>43388</v>
      </c>
      <c r="E14" s="17">
        <f t="shared" si="0"/>
        <v>43480</v>
      </c>
      <c r="F14" s="17">
        <f t="shared" si="1"/>
        <v>43388</v>
      </c>
      <c r="G14" s="17">
        <f t="shared" si="2"/>
        <v>43480</v>
      </c>
      <c r="H14" s="20">
        <f t="shared" si="13"/>
        <v>0.25555555555555554</v>
      </c>
      <c r="I14" s="37">
        <f t="shared" si="3"/>
        <v>1.0016310155354005</v>
      </c>
      <c r="J14" s="37">
        <f t="shared" si="4"/>
        <v>1.0018946111505791</v>
      </c>
      <c r="K14" s="21">
        <f t="shared" si="5"/>
        <v>-1.0295105806470129E-3</v>
      </c>
      <c r="L14" s="39">
        <f t="shared" si="6"/>
        <v>1.0032759967606877</v>
      </c>
      <c r="O14" s="4">
        <f t="shared" si="14"/>
        <v>43936</v>
      </c>
      <c r="P14" s="17">
        <f t="shared" si="8"/>
        <v>44301</v>
      </c>
      <c r="Q14" s="17">
        <f t="shared" si="9"/>
        <v>43936</v>
      </c>
      <c r="R14" s="17">
        <f t="shared" si="10"/>
        <v>44301</v>
      </c>
      <c r="S14" s="20">
        <f t="shared" si="11"/>
        <v>1</v>
      </c>
      <c r="T14" s="5">
        <f>[1]!interpol(R14,CCC_Eonia)</f>
        <v>0.99992083887254724</v>
      </c>
    </row>
    <row r="15" spans="2:20" x14ac:dyDescent="0.25">
      <c r="B15" s="8"/>
      <c r="C15" s="20"/>
      <c r="D15" s="17">
        <f t="shared" si="12"/>
        <v>43480</v>
      </c>
      <c r="E15" s="17">
        <f t="shared" si="0"/>
        <v>43570</v>
      </c>
      <c r="F15" s="17">
        <f t="shared" si="1"/>
        <v>43480</v>
      </c>
      <c r="G15" s="17">
        <f t="shared" si="2"/>
        <v>43570</v>
      </c>
      <c r="H15" s="20">
        <f t="shared" si="13"/>
        <v>0.25</v>
      </c>
      <c r="I15" s="37">
        <f t="shared" si="3"/>
        <v>1.0018946111505791</v>
      </c>
      <c r="J15" s="37">
        <f t="shared" si="4"/>
        <v>1.0022709776432941</v>
      </c>
      <c r="K15" s="21">
        <f t="shared" si="5"/>
        <v>-1.5020548379038878E-3</v>
      </c>
      <c r="L15" s="39">
        <f t="shared" si="6"/>
        <v>1.003846275303818</v>
      </c>
      <c r="O15" s="4">
        <f t="shared" si="14"/>
        <v>44301</v>
      </c>
      <c r="P15" s="17">
        <f t="shared" si="8"/>
        <v>44666</v>
      </c>
      <c r="Q15" s="17">
        <f t="shared" si="9"/>
        <v>44301</v>
      </c>
      <c r="R15" s="17">
        <f t="shared" si="10"/>
        <v>44666</v>
      </c>
      <c r="S15" s="20">
        <f t="shared" si="11"/>
        <v>1</v>
      </c>
      <c r="T15" s="5">
        <f>[1]!interpol(R15,CCC_Eonia)</f>
        <v>0.99206508810362981</v>
      </c>
    </row>
    <row r="16" spans="2:20" ht="15.75" thickBot="1" x14ac:dyDescent="0.3">
      <c r="B16" s="8"/>
      <c r="C16" s="20"/>
      <c r="D16" s="17">
        <f t="shared" si="12"/>
        <v>43570</v>
      </c>
      <c r="E16" s="17">
        <f t="shared" si="0"/>
        <v>43661</v>
      </c>
      <c r="F16" s="17">
        <f t="shared" si="1"/>
        <v>43570</v>
      </c>
      <c r="G16" s="17">
        <f t="shared" si="2"/>
        <v>43661</v>
      </c>
      <c r="H16" s="20">
        <f t="shared" si="13"/>
        <v>0.25277777777777777</v>
      </c>
      <c r="I16" s="37">
        <f t="shared" si="3"/>
        <v>1.0022709776432941</v>
      </c>
      <c r="J16" s="37">
        <f t="shared" si="4"/>
        <v>1.0026871013530132</v>
      </c>
      <c r="K16" s="21">
        <f t="shared" si="5"/>
        <v>-1.6417920252285436E-3</v>
      </c>
      <c r="L16" s="39">
        <f t="shared" si="6"/>
        <v>1.0044579627342622</v>
      </c>
      <c r="O16" s="6">
        <f t="shared" si="14"/>
        <v>44666</v>
      </c>
      <c r="P16" s="23">
        <f t="shared" si="8"/>
        <v>45031</v>
      </c>
      <c r="Q16" s="23">
        <f t="shared" si="9"/>
        <v>44666</v>
      </c>
      <c r="R16" s="23">
        <f t="shared" si="10"/>
        <v>45033</v>
      </c>
      <c r="S16" s="22">
        <f t="shared" si="11"/>
        <v>1.0055555555555555</v>
      </c>
      <c r="T16" s="7">
        <f>[1]!interpol(R16,CCC_Eonia)</f>
        <v>0.98170894891304217</v>
      </c>
    </row>
    <row r="17" spans="2:12" x14ac:dyDescent="0.25">
      <c r="B17" s="8"/>
      <c r="C17" s="20"/>
      <c r="D17" s="17">
        <f t="shared" si="12"/>
        <v>43661</v>
      </c>
      <c r="E17" s="17">
        <f t="shared" si="0"/>
        <v>43753</v>
      </c>
      <c r="F17" s="17">
        <f t="shared" si="1"/>
        <v>43661</v>
      </c>
      <c r="G17" s="17">
        <f t="shared" si="2"/>
        <v>43753</v>
      </c>
      <c r="H17" s="20">
        <f t="shared" si="13"/>
        <v>0.25555555555555554</v>
      </c>
      <c r="I17" s="37">
        <f t="shared" si="3"/>
        <v>1.0026871013530132</v>
      </c>
      <c r="J17" s="37">
        <f t="shared" si="4"/>
        <v>1.0031079734758432</v>
      </c>
      <c r="K17" s="21">
        <f t="shared" si="5"/>
        <v>-1.6417882809916929E-3</v>
      </c>
      <c r="L17" s="39">
        <f t="shared" si="6"/>
        <v>1.004582199992355</v>
      </c>
    </row>
    <row r="18" spans="2:12" x14ac:dyDescent="0.25">
      <c r="B18" s="8"/>
      <c r="C18" s="20"/>
      <c r="D18" s="17">
        <f t="shared" si="12"/>
        <v>43753</v>
      </c>
      <c r="E18" s="17">
        <f t="shared" si="0"/>
        <v>43845</v>
      </c>
      <c r="F18" s="17">
        <f t="shared" si="1"/>
        <v>43753</v>
      </c>
      <c r="G18" s="17">
        <f t="shared" si="2"/>
        <v>43845</v>
      </c>
      <c r="H18" s="20">
        <f t="shared" si="13"/>
        <v>0.25555555555555554</v>
      </c>
      <c r="I18" s="37">
        <f t="shared" si="3"/>
        <v>1.0031079734758432</v>
      </c>
      <c r="J18" s="37">
        <f t="shared" si="4"/>
        <v>1.0035290222573177</v>
      </c>
      <c r="K18" s="21">
        <f t="shared" si="5"/>
        <v>-1.6417882809925618E-3</v>
      </c>
      <c r="L18" s="39">
        <f t="shared" si="6"/>
        <v>1.0045861783754428</v>
      </c>
    </row>
    <row r="19" spans="2:12" x14ac:dyDescent="0.25">
      <c r="B19" s="8"/>
      <c r="C19" s="20"/>
      <c r="D19" s="17">
        <f t="shared" si="12"/>
        <v>43845</v>
      </c>
      <c r="E19" s="17">
        <f t="shared" si="0"/>
        <v>43936</v>
      </c>
      <c r="F19" s="17">
        <f t="shared" si="1"/>
        <v>43845</v>
      </c>
      <c r="G19" s="17">
        <f t="shared" si="2"/>
        <v>43936</v>
      </c>
      <c r="H19" s="20">
        <f t="shared" si="13"/>
        <v>0.25277777777777777</v>
      </c>
      <c r="I19" s="37">
        <f t="shared" si="3"/>
        <v>1.0035290222573177</v>
      </c>
      <c r="J19" s="37">
        <f t="shared" si="4"/>
        <v>1.0027952161389506</v>
      </c>
      <c r="K19" s="21">
        <f t="shared" si="5"/>
        <v>2.8948774513019235E-3</v>
      </c>
      <c r="L19" s="39">
        <f t="shared" si="6"/>
        <v>1.0041520869508362</v>
      </c>
    </row>
    <row r="20" spans="2:12" x14ac:dyDescent="0.25">
      <c r="B20" s="8"/>
      <c r="C20" s="20"/>
      <c r="D20" s="17">
        <f t="shared" si="12"/>
        <v>43936</v>
      </c>
      <c r="E20" s="17">
        <f t="shared" si="0"/>
        <v>44027</v>
      </c>
      <c r="F20" s="17">
        <f t="shared" si="1"/>
        <v>43936</v>
      </c>
      <c r="G20" s="17">
        <f t="shared" si="2"/>
        <v>44027</v>
      </c>
      <c r="H20" s="20">
        <f t="shared" si="13"/>
        <v>0.25277777777777777</v>
      </c>
      <c r="I20" s="37">
        <f t="shared" si="3"/>
        <v>1.0027952161389506</v>
      </c>
      <c r="J20" s="37">
        <f t="shared" si="4"/>
        <v>1.0017587968055506</v>
      </c>
      <c r="K20" s="21">
        <f t="shared" si="5"/>
        <v>4.0929218219985476E-3</v>
      </c>
      <c r="L20" s="39">
        <f t="shared" si="6"/>
        <v>1.0036026745414124</v>
      </c>
    </row>
    <row r="21" spans="2:12" x14ac:dyDescent="0.25">
      <c r="B21" s="8"/>
      <c r="C21" s="20"/>
      <c r="D21" s="17">
        <f t="shared" si="12"/>
        <v>44027</v>
      </c>
      <c r="E21" s="17">
        <f t="shared" si="0"/>
        <v>44119</v>
      </c>
      <c r="F21" s="17">
        <f t="shared" si="1"/>
        <v>44027</v>
      </c>
      <c r="G21" s="17">
        <f t="shared" si="2"/>
        <v>44119</v>
      </c>
      <c r="H21" s="20">
        <f t="shared" si="13"/>
        <v>0.25555555555555554</v>
      </c>
      <c r="I21" s="37">
        <f t="shared" si="3"/>
        <v>1.0017587968055506</v>
      </c>
      <c r="J21" s="37">
        <f t="shared" si="4"/>
        <v>1.0007120771368032</v>
      </c>
      <c r="K21" s="21">
        <f t="shared" si="5"/>
        <v>4.0929450807450484E-3</v>
      </c>
      <c r="L21" s="39">
        <f t="shared" si="6"/>
        <v>1.0026441758552869</v>
      </c>
    </row>
    <row r="22" spans="2:12" x14ac:dyDescent="0.25">
      <c r="B22" s="8"/>
      <c r="C22" s="20"/>
      <c r="D22" s="17">
        <f t="shared" si="12"/>
        <v>44119</v>
      </c>
      <c r="E22" s="17">
        <f t="shared" si="0"/>
        <v>44211</v>
      </c>
      <c r="F22" s="17">
        <f t="shared" si="1"/>
        <v>44119</v>
      </c>
      <c r="G22" s="17">
        <f t="shared" si="2"/>
        <v>44211</v>
      </c>
      <c r="H22" s="20">
        <f t="shared" si="13"/>
        <v>0.25555555555555554</v>
      </c>
      <c r="I22" s="37">
        <f t="shared" si="3"/>
        <v>1.0007120771368032</v>
      </c>
      <c r="J22" s="37">
        <f t="shared" si="4"/>
        <v>0.9996664511665273</v>
      </c>
      <c r="K22" s="21">
        <f t="shared" si="5"/>
        <v>4.0929450807459175E-3</v>
      </c>
      <c r="L22" s="39">
        <f t="shared" si="6"/>
        <v>1.0015817367942301</v>
      </c>
    </row>
    <row r="23" spans="2:12" x14ac:dyDescent="0.25">
      <c r="B23" s="8"/>
      <c r="C23" s="20"/>
      <c r="D23" s="17">
        <f t="shared" si="12"/>
        <v>44211</v>
      </c>
      <c r="E23" s="17">
        <f t="shared" si="0"/>
        <v>44301</v>
      </c>
      <c r="F23" s="17">
        <f t="shared" si="1"/>
        <v>44211</v>
      </c>
      <c r="G23" s="17">
        <f t="shared" si="2"/>
        <v>44301</v>
      </c>
      <c r="H23" s="20">
        <f t="shared" si="13"/>
        <v>0.25</v>
      </c>
      <c r="I23" s="37">
        <f t="shared" si="3"/>
        <v>0.9996664511665273</v>
      </c>
      <c r="J23" s="37">
        <f t="shared" si="4"/>
        <v>0.99783811994572846</v>
      </c>
      <c r="K23" s="21">
        <f t="shared" si="5"/>
        <v>7.329169668916613E-3</v>
      </c>
      <c r="L23" s="39">
        <f t="shared" si="6"/>
        <v>0.99992083887254724</v>
      </c>
    </row>
    <row r="24" spans="2:12" x14ac:dyDescent="0.25">
      <c r="B24" s="8"/>
      <c r="C24" s="20"/>
      <c r="D24" s="17">
        <f t="shared" si="12"/>
        <v>44301</v>
      </c>
      <c r="E24" s="17">
        <f t="shared" si="0"/>
        <v>44392</v>
      </c>
      <c r="F24" s="17">
        <f t="shared" si="1"/>
        <v>44301</v>
      </c>
      <c r="G24" s="17">
        <f t="shared" si="2"/>
        <v>44392</v>
      </c>
      <c r="H24" s="20">
        <f t="shared" si="13"/>
        <v>0.25277777777777777</v>
      </c>
      <c r="I24" s="37">
        <f t="shared" si="3"/>
        <v>0.99783811994572846</v>
      </c>
      <c r="J24" s="37">
        <f t="shared" si="4"/>
        <v>0.99578949008930417</v>
      </c>
      <c r="K24" s="21">
        <f t="shared" si="5"/>
        <v>8.1387379986821422E-3</v>
      </c>
      <c r="L24" s="39">
        <f t="shared" si="6"/>
        <v>0.99808722121463334</v>
      </c>
    </row>
    <row r="25" spans="2:12" x14ac:dyDescent="0.25">
      <c r="B25" s="8"/>
      <c r="C25" s="20"/>
      <c r="D25" s="17">
        <f t="shared" si="12"/>
        <v>44392</v>
      </c>
      <c r="E25" s="17">
        <f t="shared" si="0"/>
        <v>44484</v>
      </c>
      <c r="F25" s="17">
        <f t="shared" si="1"/>
        <v>44392</v>
      </c>
      <c r="G25" s="17">
        <f t="shared" si="2"/>
        <v>44484</v>
      </c>
      <c r="H25" s="20">
        <f t="shared" si="13"/>
        <v>0.25555555555555554</v>
      </c>
      <c r="I25" s="37">
        <f t="shared" si="3"/>
        <v>0.99578949008930417</v>
      </c>
      <c r="J25" s="37">
        <f t="shared" si="4"/>
        <v>0.99372262334505812</v>
      </c>
      <c r="K25" s="21">
        <f t="shared" si="5"/>
        <v>8.1388299350387116E-3</v>
      </c>
      <c r="L25" s="39">
        <f t="shared" si="6"/>
        <v>0.99623687193656951</v>
      </c>
    </row>
    <row r="26" spans="2:12" x14ac:dyDescent="0.25">
      <c r="B26" s="8"/>
      <c r="C26" s="20"/>
      <c r="D26" s="17">
        <f t="shared" si="12"/>
        <v>44484</v>
      </c>
      <c r="E26" s="17">
        <f t="shared" si="0"/>
        <v>44576</v>
      </c>
      <c r="F26" s="17">
        <f t="shared" si="1"/>
        <v>44484</v>
      </c>
      <c r="G26" s="17">
        <f t="shared" si="2"/>
        <v>44578</v>
      </c>
      <c r="H26" s="20">
        <f t="shared" si="13"/>
        <v>0.26111111111111113</v>
      </c>
      <c r="I26" s="37">
        <f t="shared" si="3"/>
        <v>0.99372262334505812</v>
      </c>
      <c r="J26" s="37">
        <f t="shared" si="4"/>
        <v>0.99161525555467112</v>
      </c>
      <c r="K26" s="21">
        <f t="shared" si="5"/>
        <v>8.1390138119065217E-3</v>
      </c>
      <c r="L26" s="39">
        <f t="shared" si="6"/>
        <v>0.99434984065048382</v>
      </c>
    </row>
    <row r="27" spans="2:12" x14ac:dyDescent="0.25">
      <c r="B27" s="8"/>
      <c r="C27" s="20"/>
      <c r="D27" s="17">
        <f t="shared" si="12"/>
        <v>44576</v>
      </c>
      <c r="E27" s="17">
        <f t="shared" si="0"/>
        <v>44666</v>
      </c>
      <c r="F27" s="17">
        <f t="shared" si="1"/>
        <v>44578</v>
      </c>
      <c r="G27" s="17">
        <f t="shared" si="2"/>
        <v>44666</v>
      </c>
      <c r="H27" s="20">
        <f t="shared" si="13"/>
        <v>0.24444444444444444</v>
      </c>
      <c r="I27" s="37">
        <f t="shared" si="3"/>
        <v>0.99161525555467112</v>
      </c>
      <c r="J27" s="37">
        <f t="shared" si="4"/>
        <v>0.98907860165119343</v>
      </c>
      <c r="K27" s="21">
        <f t="shared" si="5"/>
        <v>1.0491805703715511E-2</v>
      </c>
      <c r="L27" s="39">
        <f t="shared" si="6"/>
        <v>0.99206508810362981</v>
      </c>
    </row>
    <row r="28" spans="2:12" x14ac:dyDescent="0.25">
      <c r="B28" s="8"/>
      <c r="C28" s="20"/>
      <c r="D28" s="17">
        <f t="shared" si="12"/>
        <v>44666</v>
      </c>
      <c r="E28" s="17">
        <f t="shared" si="0"/>
        <v>44757</v>
      </c>
      <c r="F28" s="17">
        <f t="shared" si="1"/>
        <v>44666</v>
      </c>
      <c r="G28" s="17">
        <f t="shared" si="2"/>
        <v>44757</v>
      </c>
      <c r="H28" s="20">
        <f t="shared" si="13"/>
        <v>0.25277777777777777</v>
      </c>
      <c r="I28" s="37">
        <f t="shared" si="3"/>
        <v>0.98907860165119343</v>
      </c>
      <c r="J28" s="37">
        <f t="shared" si="4"/>
        <v>0.98633219578194975</v>
      </c>
      <c r="K28" s="21">
        <f t="shared" si="5"/>
        <v>1.1015459483456931E-2</v>
      </c>
      <c r="L28" s="39">
        <f t="shared" si="6"/>
        <v>0.98958847181275411</v>
      </c>
    </row>
    <row r="29" spans="2:12" x14ac:dyDescent="0.25">
      <c r="B29" s="8"/>
      <c r="C29" s="20"/>
      <c r="D29" s="17">
        <f t="shared" si="12"/>
        <v>44757</v>
      </c>
      <c r="E29" s="17">
        <f t="shared" si="0"/>
        <v>44849</v>
      </c>
      <c r="F29" s="17">
        <f t="shared" si="1"/>
        <v>44757</v>
      </c>
      <c r="G29" s="17">
        <f t="shared" si="2"/>
        <v>44851</v>
      </c>
      <c r="H29" s="20">
        <f t="shared" si="13"/>
        <v>0.26111111111111113</v>
      </c>
      <c r="I29" s="37">
        <f t="shared" si="3"/>
        <v>0.98633219578194975</v>
      </c>
      <c r="J29" s="37">
        <f t="shared" si="4"/>
        <v>0.98350325610307376</v>
      </c>
      <c r="K29" s="21">
        <f t="shared" si="5"/>
        <v>1.1015964615067998E-2</v>
      </c>
      <c r="L29" s="39">
        <f t="shared" si="6"/>
        <v>0.98703670043713965</v>
      </c>
    </row>
    <row r="30" spans="2:12" x14ac:dyDescent="0.25">
      <c r="B30" s="8"/>
      <c r="C30" s="20"/>
      <c r="D30" s="17">
        <f t="shared" si="12"/>
        <v>44849</v>
      </c>
      <c r="E30" s="17">
        <f t="shared" si="0"/>
        <v>44941</v>
      </c>
      <c r="F30" s="17">
        <f t="shared" si="1"/>
        <v>44851</v>
      </c>
      <c r="G30" s="17">
        <f t="shared" si="2"/>
        <v>44942</v>
      </c>
      <c r="H30" s="20">
        <f t="shared" si="13"/>
        <v>0.25277777777777777</v>
      </c>
      <c r="I30" s="37">
        <f t="shared" si="3"/>
        <v>0.98350325610307376</v>
      </c>
      <c r="J30" s="37">
        <f t="shared" si="4"/>
        <v>0.98077233147233911</v>
      </c>
      <c r="K30" s="21">
        <f t="shared" si="5"/>
        <v>1.1015459483456931E-2</v>
      </c>
      <c r="L30" s="39">
        <f t="shared" si="6"/>
        <v>0.98457263713997478</v>
      </c>
    </row>
    <row r="31" spans="2:12" ht="15.75" thickBot="1" x14ac:dyDescent="0.3">
      <c r="B31" s="9"/>
      <c r="C31" s="22"/>
      <c r="D31" s="23">
        <f t="shared" si="12"/>
        <v>44941</v>
      </c>
      <c r="E31" s="23">
        <f t="shared" si="0"/>
        <v>45031</v>
      </c>
      <c r="F31" s="23">
        <f t="shared" si="1"/>
        <v>44942</v>
      </c>
      <c r="G31" s="23">
        <f t="shared" si="2"/>
        <v>45033</v>
      </c>
      <c r="H31" s="22">
        <f t="shared" si="13"/>
        <v>0.25277777777777777</v>
      </c>
      <c r="I31" s="38">
        <f t="shared" si="3"/>
        <v>0.98077233147233911</v>
      </c>
      <c r="J31" s="38">
        <f t="shared" si="4"/>
        <v>0.97767828627792164</v>
      </c>
      <c r="K31" s="24">
        <f t="shared" si="5"/>
        <v>1.2519638579375209E-2</v>
      </c>
      <c r="L31" s="40">
        <f t="shared" si="6"/>
        <v>0.98170894891304217</v>
      </c>
    </row>
    <row r="32" spans="2:12" x14ac:dyDescent="0.25">
      <c r="D32" s="17"/>
      <c r="E32" s="17"/>
    </row>
    <row r="33" spans="4:5" x14ac:dyDescent="0.25">
      <c r="D33" s="17"/>
      <c r="E33" s="17"/>
    </row>
    <row r="34" spans="4:5" x14ac:dyDescent="0.25">
      <c r="D34" s="17"/>
      <c r="E34" s="17"/>
    </row>
    <row r="35" spans="4:5" x14ac:dyDescent="0.25">
      <c r="D35" s="17"/>
      <c r="E35" s="17"/>
    </row>
    <row r="36" spans="4:5" x14ac:dyDescent="0.25">
      <c r="D36" s="17"/>
      <c r="E36" s="17"/>
    </row>
    <row r="37" spans="4:5" x14ac:dyDescent="0.25">
      <c r="D37" s="17"/>
      <c r="E37" s="17"/>
    </row>
    <row r="38" spans="4:5" x14ac:dyDescent="0.25">
      <c r="D38" s="17"/>
      <c r="E38" s="17"/>
    </row>
    <row r="39" spans="4:5" x14ac:dyDescent="0.25">
      <c r="D39" s="17"/>
      <c r="E39" s="17"/>
    </row>
    <row r="40" spans="4:5" x14ac:dyDescent="0.25">
      <c r="D40" s="17"/>
      <c r="E40" s="17"/>
    </row>
    <row r="41" spans="4:5" x14ac:dyDescent="0.25">
      <c r="D41" s="17"/>
      <c r="E41" s="17"/>
    </row>
    <row r="42" spans="4:5" x14ac:dyDescent="0.25">
      <c r="D42" s="17"/>
      <c r="E42" s="17"/>
    </row>
    <row r="43" spans="4:5" x14ac:dyDescent="0.25">
      <c r="D43" s="17"/>
      <c r="E43" s="17"/>
    </row>
    <row r="44" spans="4:5" x14ac:dyDescent="0.25">
      <c r="D44" s="17"/>
      <c r="E44" s="17"/>
    </row>
    <row r="45" spans="4:5" x14ac:dyDescent="0.25">
      <c r="D45" s="17"/>
      <c r="E45" s="17"/>
    </row>
    <row r="46" spans="4:5" x14ac:dyDescent="0.25">
      <c r="D46" s="17"/>
      <c r="E46" s="17"/>
    </row>
    <row r="47" spans="4:5" x14ac:dyDescent="0.25">
      <c r="D47" s="17"/>
      <c r="E47" s="17"/>
    </row>
    <row r="48" spans="4:5" x14ac:dyDescent="0.25">
      <c r="D48" s="17"/>
      <c r="E48" s="17"/>
    </row>
    <row r="49" spans="4:5" x14ac:dyDescent="0.25">
      <c r="D49" s="17"/>
      <c r="E49" s="17"/>
    </row>
    <row r="50" spans="4:5" x14ac:dyDescent="0.25">
      <c r="D50" s="17"/>
      <c r="E50" s="17"/>
    </row>
    <row r="51" spans="4:5" x14ac:dyDescent="0.25">
      <c r="D51" s="17"/>
      <c r="E51" s="17"/>
    </row>
    <row r="52" spans="4:5" x14ac:dyDescent="0.25">
      <c r="D52" s="17"/>
      <c r="E52" s="17"/>
    </row>
    <row r="53" spans="4:5" x14ac:dyDescent="0.25">
      <c r="D53" s="17"/>
      <c r="E53" s="17"/>
    </row>
    <row r="54" spans="4:5" x14ac:dyDescent="0.25">
      <c r="D54" s="17"/>
      <c r="E54" s="17"/>
    </row>
    <row r="55" spans="4:5" x14ac:dyDescent="0.25">
      <c r="D55" s="17"/>
      <c r="E55" s="17"/>
    </row>
    <row r="56" spans="4:5" x14ac:dyDescent="0.25">
      <c r="D56" s="17"/>
      <c r="E56" s="17"/>
    </row>
    <row r="57" spans="4:5" x14ac:dyDescent="0.25">
      <c r="D57" s="17"/>
      <c r="E57" s="17"/>
    </row>
    <row r="58" spans="4:5" x14ac:dyDescent="0.25">
      <c r="D58" s="17"/>
      <c r="E58" s="17"/>
    </row>
    <row r="59" spans="4:5" x14ac:dyDescent="0.25">
      <c r="D59" s="17"/>
      <c r="E59" s="17"/>
    </row>
    <row r="60" spans="4:5" x14ac:dyDescent="0.25">
      <c r="D60" s="17"/>
      <c r="E60" s="17"/>
    </row>
    <row r="61" spans="4:5" x14ac:dyDescent="0.25">
      <c r="D61" s="17"/>
      <c r="E61" s="17"/>
    </row>
    <row r="62" spans="4:5" x14ac:dyDescent="0.25">
      <c r="D62" s="17"/>
      <c r="E62" s="17"/>
    </row>
    <row r="63" spans="4:5" x14ac:dyDescent="0.25">
      <c r="D63" s="17"/>
      <c r="E63" s="17"/>
    </row>
    <row r="64" spans="4:5" x14ac:dyDescent="0.25">
      <c r="D64" s="17"/>
      <c r="E64" s="17"/>
    </row>
    <row r="65" spans="4:5" x14ac:dyDescent="0.25">
      <c r="D65" s="17"/>
      <c r="E65" s="17"/>
    </row>
    <row r="66" spans="4:5" x14ac:dyDescent="0.25">
      <c r="D66" s="17"/>
      <c r="E66" s="17"/>
    </row>
    <row r="67" spans="4:5" x14ac:dyDescent="0.25">
      <c r="D67" s="17"/>
      <c r="E67" s="17"/>
    </row>
    <row r="68" spans="4:5" x14ac:dyDescent="0.25">
      <c r="D68" s="17"/>
      <c r="E68" s="17"/>
    </row>
    <row r="69" spans="4:5" x14ac:dyDescent="0.25">
      <c r="D69" s="17"/>
      <c r="E69" s="17"/>
    </row>
    <row r="70" spans="4:5" x14ac:dyDescent="0.25">
      <c r="D70" s="17"/>
      <c r="E70" s="17"/>
    </row>
    <row r="71" spans="4:5" x14ac:dyDescent="0.25">
      <c r="D71" s="17"/>
      <c r="E71" s="17"/>
    </row>
    <row r="72" spans="4:5" x14ac:dyDescent="0.25">
      <c r="D72" s="17"/>
      <c r="E72" s="17"/>
    </row>
  </sheetData>
  <mergeCells count="2">
    <mergeCell ref="B10:L10"/>
    <mergeCell ref="O10:T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Inputs</vt:lpstr>
      <vt:lpstr>Valoracion</vt:lpstr>
      <vt:lpstr>CCC_Eonia</vt:lpstr>
      <vt:lpstr>CCC_EUR3M</vt:lpstr>
      <vt:lpstr>FV</vt:lpstr>
    </vt:vector>
  </TitlesOfParts>
  <Company>Analistas Financieros Internacionales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José Javier Calderón Coronado</cp:lastModifiedBy>
  <cp:lastPrinted>2018-03-15T10:44:49Z</cp:lastPrinted>
  <dcterms:created xsi:type="dcterms:W3CDTF">2018-03-12T12:26:14Z</dcterms:created>
  <dcterms:modified xsi:type="dcterms:W3CDTF">2023-03-09T12:56:27Z</dcterms:modified>
</cp:coreProperties>
</file>