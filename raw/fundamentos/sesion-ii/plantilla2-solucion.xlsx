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Q:\Consultoria\FORMACION\MASTERS CUANTITATIVOS\MFC 2024-2025\Valoracion\Chema\Sesion II\Soluciones\"/>
    </mc:Choice>
  </mc:AlternateContent>
  <xr:revisionPtr revIDLastSave="0" documentId="14_{5FC59BD1-D6E1-41B3-A63B-249004F1E6F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Hoja1" sheetId="1" r:id="rId1"/>
  </sheets>
  <definedNames>
    <definedName name="Num0">Hoja1!$R$9</definedName>
    <definedName name="solver_adj" localSheetId="0" hidden="1">Hoja1!$AH$25:$AH$27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10000</definedName>
    <definedName name="solver_lhs1" localSheetId="0" hidden="1">Hoja1!$U$21</definedName>
    <definedName name="solver_lhs2" localSheetId="0" hidden="1">Hoja1!$U$20</definedName>
    <definedName name="solver_lhs3" localSheetId="0" hidden="1">Hoja1!$U$21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Hoja1!$AL$35</definedName>
    <definedName name="solver_pre" localSheetId="0" hidden="1">0.0000000001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hs1" localSheetId="0" hidden="1">0</definedName>
    <definedName name="solver_rhs2" localSheetId="0" hidden="1">0</definedName>
    <definedName name="solver_rhs3" localSheetId="0" hidden="1">0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10000</definedName>
    <definedName name="solver_tol" localSheetId="0" hidden="1">0.05</definedName>
    <definedName name="solver_typ" localSheetId="0" hidden="1">3</definedName>
    <definedName name="solver_val" localSheetId="0" hidden="1">0</definedName>
    <definedName name="solver_ver" localSheetId="0" hidden="1">3</definedName>
    <definedName name="tipo">Hoja1!$E$16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9" i="1" l="1"/>
  <c r="F20" i="1"/>
  <c r="BB19" i="1" l="1" a="1"/>
  <c r="BB20" i="1" s="1"/>
  <c r="AZ26" i="1"/>
  <c r="AZ23" i="1"/>
  <c r="AZ20" i="1"/>
  <c r="AU19" i="1" a="1"/>
  <c r="AU20" i="1" s="1"/>
  <c r="AS26" i="1"/>
  <c r="AS23" i="1"/>
  <c r="AS20" i="1"/>
  <c r="S59" i="1"/>
  <c r="S56" i="1"/>
  <c r="S53" i="1"/>
  <c r="AF53" i="1"/>
  <c r="AF56" i="1"/>
  <c r="AF59" i="1"/>
  <c r="U52" i="1" a="1"/>
  <c r="U60" i="1" s="1"/>
  <c r="AH52" i="1" a="1"/>
  <c r="AH53" i="1" s="1"/>
  <c r="AF30" i="1"/>
  <c r="S36" i="1"/>
  <c r="S33" i="1"/>
  <c r="S30" i="1"/>
  <c r="AF36" i="1"/>
  <c r="AF33" i="1"/>
  <c r="AI63" i="1" a="1"/>
  <c r="AI63" i="1" s="1"/>
  <c r="AI13" i="1"/>
  <c r="AI12" i="1"/>
  <c r="AI11" i="1"/>
  <c r="AI10" i="1"/>
  <c r="AI9" i="1"/>
  <c r="AI8" i="1"/>
  <c r="AI7" i="1"/>
  <c r="AI6" i="1"/>
  <c r="AI5" i="1"/>
  <c r="AG12" i="1"/>
  <c r="BA12" i="1" s="1"/>
  <c r="AG9" i="1"/>
  <c r="BA9" i="1" s="1"/>
  <c r="AG6" i="1"/>
  <c r="BA6" i="1" s="1"/>
  <c r="AE9" i="1"/>
  <c r="AE43" i="1" s="1"/>
  <c r="AF46" i="1"/>
  <c r="AF43" i="1"/>
  <c r="AF40" i="1"/>
  <c r="AH39" i="1" a="1"/>
  <c r="AH44" i="1" s="1"/>
  <c r="AH29" i="1" a="1"/>
  <c r="AH36" i="1" s="1"/>
  <c r="V63" i="1" a="1"/>
  <c r="V64" i="1" s="1"/>
  <c r="AH41" i="1" l="1"/>
  <c r="BC5" i="1" a="1"/>
  <c r="BC5" i="1" s="1"/>
  <c r="AI39" i="1" a="1"/>
  <c r="AI40" i="1" s="1"/>
  <c r="AG40" i="1"/>
  <c r="AY9" i="1"/>
  <c r="AU27" i="1"/>
  <c r="AU23" i="1"/>
  <c r="AE23" i="1"/>
  <c r="AE33" i="1"/>
  <c r="AM33" i="1" s="1"/>
  <c r="AU22" i="1"/>
  <c r="AH29" i="1"/>
  <c r="AI29" i="1" a="1"/>
  <c r="AI30" i="1" s="1"/>
  <c r="AH30" i="1"/>
  <c r="AH35" i="1"/>
  <c r="AH45" i="1"/>
  <c r="AG30" i="1"/>
  <c r="AG43" i="1"/>
  <c r="AU26" i="1"/>
  <c r="AU21" i="1"/>
  <c r="AH33" i="1"/>
  <c r="AH34" i="1"/>
  <c r="AH31" i="1"/>
  <c r="AH37" i="1"/>
  <c r="AG33" i="1"/>
  <c r="AG46" i="1"/>
  <c r="AM42" i="1" s="1"/>
  <c r="AU25" i="1"/>
  <c r="AS74" i="1" s="1" a="1"/>
  <c r="AS76" i="1" s="1"/>
  <c r="AU19" i="1"/>
  <c r="AS68" i="1" s="1" a="1"/>
  <c r="AS70" i="1" s="1"/>
  <c r="AG36" i="1"/>
  <c r="AS75" i="1"/>
  <c r="BB27" i="1"/>
  <c r="BB23" i="1"/>
  <c r="BB19" i="1"/>
  <c r="BB26" i="1"/>
  <c r="BB22" i="1"/>
  <c r="BB25" i="1"/>
  <c r="BB21" i="1"/>
  <c r="BB24" i="1"/>
  <c r="AU24" i="1"/>
  <c r="BC12" i="1"/>
  <c r="BC8" i="1"/>
  <c r="BC11" i="1"/>
  <c r="BC7" i="1"/>
  <c r="BC10" i="1"/>
  <c r="BC6" i="1"/>
  <c r="BC13" i="1"/>
  <c r="BC9" i="1"/>
  <c r="V71" i="1"/>
  <c r="V66" i="1"/>
  <c r="V67" i="1"/>
  <c r="V70" i="1"/>
  <c r="V65" i="1"/>
  <c r="V69" i="1"/>
  <c r="V63" i="1"/>
  <c r="U55" i="1"/>
  <c r="U59" i="1"/>
  <c r="U53" i="1"/>
  <c r="U57" i="1"/>
  <c r="U54" i="1"/>
  <c r="U58" i="1"/>
  <c r="U52" i="1"/>
  <c r="U56" i="1"/>
  <c r="AH60" i="1"/>
  <c r="AH56" i="1"/>
  <c r="AH52" i="1"/>
  <c r="AH59" i="1"/>
  <c r="AH55" i="1"/>
  <c r="AH58" i="1"/>
  <c r="AH54" i="1"/>
  <c r="AH57" i="1"/>
  <c r="AI70" i="1"/>
  <c r="AI66" i="1"/>
  <c r="AI69" i="1"/>
  <c r="AI65" i="1"/>
  <c r="AI68" i="1"/>
  <c r="AI64" i="1"/>
  <c r="AI71" i="1"/>
  <c r="AI67" i="1"/>
  <c r="AI43" i="1"/>
  <c r="AI42" i="1"/>
  <c r="AI45" i="1"/>
  <c r="AI41" i="1"/>
  <c r="AI44" i="1"/>
  <c r="AH42" i="1"/>
  <c r="AH46" i="1"/>
  <c r="AH32" i="1"/>
  <c r="AH39" i="1"/>
  <c r="AH43" i="1"/>
  <c r="AH47" i="1"/>
  <c r="AH40" i="1"/>
  <c r="V68" i="1"/>
  <c r="S46" i="1"/>
  <c r="S43" i="1"/>
  <c r="S40" i="1"/>
  <c r="U39" i="1" a="1"/>
  <c r="U42" i="1" s="1"/>
  <c r="U29" i="1" a="1"/>
  <c r="U36" i="1" s="1"/>
  <c r="R9" i="1"/>
  <c r="R33" i="1" s="1"/>
  <c r="F26" i="1"/>
  <c r="G66" i="1" s="1"/>
  <c r="F23" i="1"/>
  <c r="G65" i="1" s="1"/>
  <c r="G64" i="1"/>
  <c r="D56" i="1"/>
  <c r="H27" i="1"/>
  <c r="L60" i="1" s="1"/>
  <c r="M60" i="1" s="1"/>
  <c r="H26" i="1"/>
  <c r="L59" i="1" s="1"/>
  <c r="M59" i="1" s="1"/>
  <c r="H25" i="1"/>
  <c r="L58" i="1" s="1"/>
  <c r="M58" i="1" s="1"/>
  <c r="H24" i="1"/>
  <c r="L57" i="1" s="1"/>
  <c r="M57" i="1" s="1"/>
  <c r="H23" i="1"/>
  <c r="L56" i="1" s="1"/>
  <c r="M56" i="1" s="1"/>
  <c r="H22" i="1"/>
  <c r="L55" i="1" s="1"/>
  <c r="M55" i="1" s="1"/>
  <c r="H19" i="1"/>
  <c r="H20" i="1"/>
  <c r="L53" i="1" s="1"/>
  <c r="M53" i="1" s="1"/>
  <c r="H21" i="1"/>
  <c r="L54" i="1" s="1"/>
  <c r="M54" i="1" s="1"/>
  <c r="U43" i="1"/>
  <c r="AI32" i="1" l="1"/>
  <c r="AI37" i="1"/>
  <c r="AS71" i="1" a="1"/>
  <c r="AI46" i="1"/>
  <c r="AK46" i="1" s="1"/>
  <c r="AI39" i="1"/>
  <c r="U35" i="1"/>
  <c r="AI47" i="1"/>
  <c r="U33" i="1"/>
  <c r="AS73" i="1"/>
  <c r="AS71" i="1"/>
  <c r="AS72" i="1"/>
  <c r="U30" i="1"/>
  <c r="U37" i="1"/>
  <c r="R43" i="1"/>
  <c r="AR9" i="1"/>
  <c r="AS49" i="1" s="1"/>
  <c r="R23" i="1"/>
  <c r="AI34" i="1"/>
  <c r="AI36" i="1"/>
  <c r="AS69" i="1"/>
  <c r="AS68" i="1"/>
  <c r="U34" i="1"/>
  <c r="AI19" i="1" a="1"/>
  <c r="AI27" i="1" s="1"/>
  <c r="AI31" i="1"/>
  <c r="AI29" i="1"/>
  <c r="AK30" i="1" s="1"/>
  <c r="U29" i="1"/>
  <c r="U31" i="1"/>
  <c r="U32" i="1"/>
  <c r="AI35" i="1"/>
  <c r="AK36" i="1" s="1"/>
  <c r="AI33" i="1"/>
  <c r="AK33" i="1" s="1"/>
  <c r="AS74" i="1"/>
  <c r="AI52" i="1" a="1"/>
  <c r="AK40" i="1"/>
  <c r="AK43" i="1"/>
  <c r="N59" i="1"/>
  <c r="N56" i="1"/>
  <c r="V5" i="1" a="1"/>
  <c r="V5" i="1" s="1"/>
  <c r="L52" i="1"/>
  <c r="AI21" i="1"/>
  <c r="AI19" i="1"/>
  <c r="AI24" i="1"/>
  <c r="F53" i="1"/>
  <c r="H64" i="1" s="1"/>
  <c r="AG20" i="1"/>
  <c r="F56" i="1"/>
  <c r="H65" i="1" s="1"/>
  <c r="AG23" i="1"/>
  <c r="F59" i="1"/>
  <c r="H66" i="1" s="1"/>
  <c r="AG26" i="1"/>
  <c r="U45" i="1"/>
  <c r="T6" i="1"/>
  <c r="T12" i="1"/>
  <c r="T9" i="1"/>
  <c r="V9" i="1"/>
  <c r="V13" i="1"/>
  <c r="V11" i="1"/>
  <c r="V12" i="1"/>
  <c r="V7" i="1"/>
  <c r="V10" i="1"/>
  <c r="V8" i="1"/>
  <c r="U40" i="1"/>
  <c r="U47" i="1"/>
  <c r="U44" i="1"/>
  <c r="U41" i="1"/>
  <c r="U46" i="1"/>
  <c r="U39" i="1"/>
  <c r="AI23" i="1" l="1"/>
  <c r="AI26" i="1"/>
  <c r="AI22" i="1"/>
  <c r="AI25" i="1"/>
  <c r="AI20" i="1"/>
  <c r="AI52" i="1"/>
  <c r="AI59" i="1"/>
  <c r="AI56" i="1"/>
  <c r="AI58" i="1"/>
  <c r="AI53" i="1"/>
  <c r="AI55" i="1"/>
  <c r="AI60" i="1"/>
  <c r="V6" i="1"/>
  <c r="AV5" i="1" s="1" a="1"/>
  <c r="AI54" i="1"/>
  <c r="AI57" i="1"/>
  <c r="T36" i="1"/>
  <c r="AT12" i="1"/>
  <c r="AT46" i="1" s="1"/>
  <c r="AS60" i="1" s="1"/>
  <c r="T23" i="1"/>
  <c r="AT9" i="1"/>
  <c r="AT43" i="1" s="1"/>
  <c r="AS57" i="1" s="1"/>
  <c r="T20" i="1"/>
  <c r="AT6" i="1"/>
  <c r="AT40" i="1" s="1"/>
  <c r="AS54" i="1" s="1"/>
  <c r="I65" i="1"/>
  <c r="AK23" i="1"/>
  <c r="AL33" i="1" s="1"/>
  <c r="AK26" i="1"/>
  <c r="AL35" i="1" s="1"/>
  <c r="M52" i="1"/>
  <c r="N53" i="1" s="1"/>
  <c r="AM23" i="1"/>
  <c r="AN32" i="1" s="1"/>
  <c r="AK20" i="1"/>
  <c r="AL31" i="1" s="1"/>
  <c r="T30" i="1"/>
  <c r="T40" i="1"/>
  <c r="T26" i="1"/>
  <c r="T46" i="1"/>
  <c r="T33" i="1"/>
  <c r="T43" i="1"/>
  <c r="AG56" i="1" l="1"/>
  <c r="AG59" i="1"/>
  <c r="AG70" i="1" s="1"/>
  <c r="AG53" i="1"/>
  <c r="AE56" i="1" s="1"/>
  <c r="AE67" i="1" s="1"/>
  <c r="V39" i="1" a="1"/>
  <c r="V19" i="1" a="1"/>
  <c r="V25" i="1" s="1"/>
  <c r="V29" i="1" a="1"/>
  <c r="V36" i="1" s="1"/>
  <c r="AG67" i="1"/>
  <c r="AV8" i="1"/>
  <c r="AV42" i="1" s="1"/>
  <c r="AV71" i="1" s="1"/>
  <c r="AY71" i="1" s="1" a="1"/>
  <c r="AV9" i="1"/>
  <c r="AV43" i="1" s="1"/>
  <c r="AV72" i="1" s="1"/>
  <c r="AV11" i="1"/>
  <c r="AV45" i="1" s="1"/>
  <c r="AV74" i="1" s="1"/>
  <c r="AV6" i="1"/>
  <c r="AV40" i="1" s="1"/>
  <c r="AV69" i="1" s="1"/>
  <c r="AV7" i="1"/>
  <c r="AV41" i="1" s="1"/>
  <c r="AV70" i="1" s="1"/>
  <c r="AV12" i="1"/>
  <c r="AV46" i="1" s="1"/>
  <c r="AV75" i="1" s="1"/>
  <c r="AV10" i="1"/>
  <c r="AV44" i="1" s="1"/>
  <c r="AV73" i="1" s="1"/>
  <c r="AV13" i="1"/>
  <c r="AV47" i="1" s="1"/>
  <c r="AV76" i="1" s="1"/>
  <c r="AV5" i="1"/>
  <c r="AV39" i="1" s="1"/>
  <c r="AV68" i="1" s="1"/>
  <c r="AY68" i="1" s="1" a="1"/>
  <c r="V52" i="1" a="1"/>
  <c r="Z23" i="1"/>
  <c r="Z33" i="1"/>
  <c r="Z42" i="1"/>
  <c r="V46" i="1"/>
  <c r="V47" i="1"/>
  <c r="V40" i="1"/>
  <c r="V45" i="1"/>
  <c r="V42" i="1"/>
  <c r="V41" i="1"/>
  <c r="V43" i="1"/>
  <c r="V44" i="1"/>
  <c r="V39" i="1"/>
  <c r="V24" i="1"/>
  <c r="V19" i="1"/>
  <c r="V20" i="1"/>
  <c r="V26" i="1"/>
  <c r="V23" i="1"/>
  <c r="V37" i="1"/>
  <c r="V33" i="1"/>
  <c r="V30" i="1"/>
  <c r="V31" i="1"/>
  <c r="V35" i="1"/>
  <c r="V29" i="1"/>
  <c r="V32" i="1"/>
  <c r="V27" i="1" l="1"/>
  <c r="V34" i="1"/>
  <c r="V21" i="1"/>
  <c r="V22" i="1"/>
  <c r="AG64" i="1"/>
  <c r="V55" i="1"/>
  <c r="V56" i="1"/>
  <c r="V58" i="1"/>
  <c r="V53" i="1"/>
  <c r="V54" i="1"/>
  <c r="V59" i="1"/>
  <c r="V57" i="1"/>
  <c r="V60" i="1"/>
  <c r="V52" i="1"/>
  <c r="T53" i="1" s="1"/>
  <c r="AY74" i="1" a="1"/>
  <c r="AY73" i="1"/>
  <c r="AY71" i="1"/>
  <c r="AY72" i="1"/>
  <c r="AY68" i="1"/>
  <c r="AY70" i="1"/>
  <c r="AY69" i="1"/>
  <c r="AA32" i="1"/>
  <c r="X26" i="1"/>
  <c r="X30" i="1"/>
  <c r="X23" i="1"/>
  <c r="X45" i="1"/>
  <c r="X39" i="1"/>
  <c r="X36" i="1"/>
  <c r="X20" i="1"/>
  <c r="X33" i="1"/>
  <c r="X42" i="1"/>
  <c r="T56" i="1" l="1"/>
  <c r="R56" i="1" s="1"/>
  <c r="T70" i="1"/>
  <c r="T67" i="1"/>
  <c r="AY76" i="1"/>
  <c r="AY74" i="1"/>
  <c r="AY75" i="1"/>
  <c r="Y31" i="1"/>
  <c r="Y29" i="1"/>
  <c r="Y27" i="1"/>
  <c r="T64" i="1"/>
  <c r="R6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Euclides</author>
    <author>Pablo</author>
  </authors>
  <commentList>
    <comment ref="L5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jcontreras: observa que solver no ha conseguido resolver "exactamente" el sistema de ecuaciones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52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todo este árbol está escrito en las unidades del numerario</t>
        </r>
      </text>
    </comment>
    <comment ref="V5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2. Escribimos los payoffs finales en términos del numerario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5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3. El resto del árbol se calcula (hacia atrás) promediando con las probabilidades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63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y éste, en las unidades originales. Compárese con el obtenido por replicación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6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1. El dato es el payoff a vencimiento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6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4. Los valores de este árbol se obtienen a partir del anterior multiplicando por los valores del numerario. Observa que coinciden (salvo detalle de precisión de solver) con los de los obtenidos por replicación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67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jcontreras: observa que, aunque en el cálculo hemos usado unas probs distintas (pues el numerario era diferente), los precios obtenidos son los mismos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68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El escenario (a,1) tiene la probabilidad producto de "llegar a a" por "llegar luego a 1"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<sst xmlns="http://schemas.openxmlformats.org/spreadsheetml/2006/main" count="113" uniqueCount="70">
  <si>
    <t>r</t>
  </si>
  <si>
    <t>activo S1</t>
  </si>
  <si>
    <t>activo S2</t>
  </si>
  <si>
    <t>activo S3</t>
  </si>
  <si>
    <t>activo X</t>
  </si>
  <si>
    <t>nodo a</t>
  </si>
  <si>
    <t>nodo b</t>
  </si>
  <si>
    <t>nodo c</t>
  </si>
  <si>
    <t>nodo inicial</t>
  </si>
  <si>
    <t>lambda1</t>
  </si>
  <si>
    <t>lambda2</t>
  </si>
  <si>
    <t>lambda3</t>
  </si>
  <si>
    <t>activo S1/N</t>
  </si>
  <si>
    <t>activo X/N</t>
  </si>
  <si>
    <t>activo S3/N</t>
  </si>
  <si>
    <t>activo S2/N</t>
  </si>
  <si>
    <t>numerario N</t>
  </si>
  <si>
    <t>probabilidades</t>
  </si>
  <si>
    <t>cálculos para nodos finales</t>
  </si>
  <si>
    <t>error en a</t>
  </si>
  <si>
    <t>error en b</t>
  </si>
  <si>
    <t>error en c</t>
  </si>
  <si>
    <t>cálculos para nodo inicial</t>
  </si>
  <si>
    <t>Cálculo de carteras replicantes</t>
  </si>
  <si>
    <t>error inicial</t>
  </si>
  <si>
    <t>composición</t>
  </si>
  <si>
    <t>flujo</t>
  </si>
  <si>
    <t>error</t>
  </si>
  <si>
    <t>compos</t>
  </si>
  <si>
    <t>total</t>
  </si>
  <si>
    <t>Una vez calculadas las probabilidades de valoración,</t>
  </si>
  <si>
    <t>las usamos para valorar un activo X cualquiera</t>
  </si>
  <si>
    <t>Modelo: tres activos, con los siguientes valores en cada uno de los escenarios:</t>
  </si>
  <si>
    <t>numerario M</t>
  </si>
  <si>
    <t>activo S1/M</t>
  </si>
  <si>
    <t>activo S2/M</t>
  </si>
  <si>
    <t>activo S3/M</t>
  </si>
  <si>
    <t>activo X/M</t>
  </si>
  <si>
    <t>Queremos hallar la probabilidad de valoración con respecto a M sin necesidad de resolver los sistemas de ecuaciones correspondientes</t>
  </si>
  <si>
    <t>(solo usando los valores de los dos numerarios y la prob de valoración con respecto a N)</t>
  </si>
  <si>
    <t>proceso M/N</t>
  </si>
  <si>
    <t>N(0)/M(0)</t>
  </si>
  <si>
    <t>Observa que las probs que asigna Q_N a los 9 escenarios finales son</t>
  </si>
  <si>
    <t>a</t>
  </si>
  <si>
    <t>b</t>
  </si>
  <si>
    <t>c</t>
  </si>
  <si>
    <t>(a,1)</t>
  </si>
  <si>
    <t>(a,2)</t>
  </si>
  <si>
    <t>(a,3)</t>
  </si>
  <si>
    <t>(c,1)</t>
  </si>
  <si>
    <t>(c,2)</t>
  </si>
  <si>
    <t>(c,3)</t>
  </si>
  <si>
    <t>(b,1)</t>
  </si>
  <si>
    <t>(b,2)</t>
  </si>
  <si>
    <t>(b,3)</t>
  </si>
  <si>
    <t>Hacemos el cambio de probabilidad, con la fórmula general</t>
  </si>
  <si>
    <t>Finalmente, recuperamos las probs en cada nodo</t>
  </si>
  <si>
    <t>Para el numerario N, las probabilidades en cada nodo son</t>
  </si>
  <si>
    <t>Para el numerario M, las probabilidades en cada nodo son</t>
  </si>
  <si>
    <t>Para los 9 escenarios finales:</t>
  </si>
  <si>
    <t>En esta hoja de cálculo hay 4 ejercicios:</t>
  </si>
  <si>
    <t>1. Valorar un activo cualquiera X por replicación</t>
  </si>
  <si>
    <t>2. Calcular la prob de valoración para N=S1 y valorar X</t>
  </si>
  <si>
    <t>3. Calcular la prob de valoración para M=S2 y valorar X</t>
  </si>
  <si>
    <t>4. Usar la fórmula del cambio de numerario</t>
  </si>
  <si>
    <t>El primer juego de probs (para el nodo inicial) se obtiene aplicando la fórmula:</t>
  </si>
  <si>
    <t>1. Valoración por replicación</t>
  </si>
  <si>
    <t>2. Elegimos como numerario el activo S1</t>
  </si>
  <si>
    <t>3. Elegimos como numerario el activo S2</t>
  </si>
  <si>
    <t>4. Cambio de numerario/probabilidad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</si>
</sst>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"/>
    <numFmt numFmtId="165" formatCode="0.0000000"/>
    <numFmt numFmtId="166" formatCode="0.000"/>
    <numFmt numFmtId="167" formatCode="0.0000%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3" tint="0.3999755851924192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7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FF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/>
    <xf numFmtId="0" fontId="3" fillId="6" borderId="0" xfId="0" applyFont="1" applyFill="1"/>
    <xf numFmtId="0" fontId="4" fillId="0" borderId="0" xfId="0" applyFont="1"/>
    <xf numFmtId="0" fontId="3" fillId="7" borderId="0" xfId="0" applyFont="1" applyFill="1"/>
    <xf numFmtId="0" fontId="3" fillId="7" borderId="1" xfId="0" applyFont="1" applyFill="1" applyBorder="1"/>
    <xf numFmtId="0" fontId="3" fillId="7" borderId="2" xfId="0" applyFont="1" applyFill="1" applyBorder="1"/>
    <xf numFmtId="0" fontId="3" fillId="7" borderId="3" xfId="0" applyFont="1" applyFill="1" applyBorder="1"/>
    <xf numFmtId="0" fontId="3" fillId="7" borderId="4" xfId="0" applyFont="1" applyFill="1" applyBorder="1"/>
    <xf numFmtId="0" fontId="3" fillId="7" borderId="5" xfId="0" applyFont="1" applyFill="1" applyBorder="1"/>
    <xf numFmtId="0" fontId="5" fillId="0" borderId="0" xfId="0" applyFont="1" applyAlignment="1">
      <alignment vertical="center" textRotation="90" wrapText="1"/>
    </xf>
    <xf numFmtId="0" fontId="4" fillId="0" borderId="6" xfId="0" applyFont="1" applyBorder="1" applyAlignment="1">
      <alignment horizontal="center"/>
    </xf>
    <xf numFmtId="9" fontId="4" fillId="0" borderId="5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9" fontId="3" fillId="0" borderId="0" xfId="0" applyNumberFormat="1" applyFont="1"/>
    <xf numFmtId="0" fontId="3" fillId="3" borderId="0" xfId="0" applyFont="1" applyFill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4" borderId="0" xfId="0" applyFont="1" applyFill="1"/>
    <xf numFmtId="0" fontId="3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5" borderId="0" xfId="0" applyFont="1" applyFill="1"/>
    <xf numFmtId="0" fontId="3" fillId="5" borderId="1" xfId="0" applyFont="1" applyFill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5" borderId="2" xfId="0" applyFont="1" applyFill="1" applyBorder="1"/>
    <xf numFmtId="0" fontId="3" fillId="5" borderId="3" xfId="0" applyFont="1" applyFill="1" applyBorder="1"/>
    <xf numFmtId="0" fontId="3" fillId="0" borderId="10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4" fillId="0" borderId="11" xfId="0" applyFont="1" applyBorder="1" applyAlignment="1">
      <alignment horizontal="center"/>
    </xf>
    <xf numFmtId="0" fontId="3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8" borderId="1" xfId="0" applyFont="1" applyFill="1" applyBorder="1"/>
    <xf numFmtId="0" fontId="3" fillId="8" borderId="3" xfId="0" applyFont="1" applyFill="1" applyBorder="1"/>
    <xf numFmtId="0" fontId="3" fillId="8" borderId="4" xfId="0" applyFont="1" applyFill="1" applyBorder="1"/>
    <xf numFmtId="165" fontId="3" fillId="0" borderId="8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0" fontId="6" fillId="2" borderId="0" xfId="1" applyNumberFormat="1" applyFont="1" applyFill="1"/>
    <xf numFmtId="164" fontId="3" fillId="5" borderId="2" xfId="0" applyNumberFormat="1" applyFont="1" applyFill="1" applyBorder="1"/>
    <xf numFmtId="10" fontId="6" fillId="0" borderId="0" xfId="1" applyNumberFormat="1" applyFont="1" applyFill="1" applyBorder="1"/>
    <xf numFmtId="10" fontId="3" fillId="0" borderId="0" xfId="1" applyNumberFormat="1" applyFont="1" applyFill="1" applyBorder="1"/>
    <xf numFmtId="10" fontId="3" fillId="0" borderId="0" xfId="0" applyNumberFormat="1" applyFont="1"/>
    <xf numFmtId="167" fontId="3" fillId="0" borderId="0" xfId="0" applyNumberFormat="1" applyFont="1"/>
    <xf numFmtId="166" fontId="3" fillId="7" borderId="2" xfId="0" applyNumberFormat="1" applyFont="1" applyFill="1" applyBorder="1"/>
    <xf numFmtId="0" fontId="5" fillId="0" borderId="0" xfId="0" applyFont="1" applyAlignment="1">
      <alignment vertical="center" textRotation="90"/>
    </xf>
    <xf numFmtId="0" fontId="3" fillId="2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0" borderId="3" xfId="0" applyFont="1" applyBorder="1"/>
    <xf numFmtId="0" fontId="6" fillId="0" borderId="11" xfId="0" applyFont="1" applyBorder="1" applyAlignment="1">
      <alignment horizontal="center"/>
    </xf>
    <xf numFmtId="0" fontId="13" fillId="0" borderId="3" xfId="0" applyFont="1" applyBorder="1"/>
    <xf numFmtId="0" fontId="13" fillId="0" borderId="11" xfId="0" applyFont="1" applyBorder="1" applyAlignment="1">
      <alignment horizontal="center"/>
    </xf>
    <xf numFmtId="0" fontId="11" fillId="0" borderId="3" xfId="0" applyFont="1" applyBorder="1"/>
    <xf numFmtId="0" fontId="11" fillId="0" borderId="11" xfId="0" applyFont="1" applyBorder="1" applyAlignment="1">
      <alignment horizontal="center"/>
    </xf>
    <xf numFmtId="0" fontId="10" fillId="0" borderId="3" xfId="0" applyFont="1" applyBorder="1"/>
    <xf numFmtId="0" fontId="10" fillId="0" borderId="4" xfId="0" applyFont="1" applyBorder="1"/>
    <xf numFmtId="10" fontId="6" fillId="2" borderId="0" xfId="1" applyNumberFormat="1" applyFont="1" applyFill="1" applyAlignment="1">
      <alignment horizontal="center"/>
    </xf>
    <xf numFmtId="10" fontId="9" fillId="2" borderId="0" xfId="1" applyNumberFormat="1" applyFont="1" applyFill="1" applyAlignment="1">
      <alignment horizontal="center"/>
    </xf>
    <xf numFmtId="10" fontId="12" fillId="2" borderId="0" xfId="1" applyNumberFormat="1" applyFont="1" applyFill="1" applyAlignment="1">
      <alignment horizontal="center"/>
    </xf>
    <xf numFmtId="10" fontId="6" fillId="3" borderId="0" xfId="1" applyNumberFormat="1" applyFont="1" applyFill="1" applyAlignment="1">
      <alignment horizontal="center"/>
    </xf>
    <xf numFmtId="10" fontId="9" fillId="3" borderId="0" xfId="1" applyNumberFormat="1" applyFont="1" applyFill="1" applyAlignment="1">
      <alignment horizontal="center"/>
    </xf>
    <xf numFmtId="10" fontId="11" fillId="3" borderId="0" xfId="1" applyNumberFormat="1" applyFont="1" applyFill="1" applyAlignment="1">
      <alignment horizontal="center"/>
    </xf>
    <xf numFmtId="10" fontId="6" fillId="4" borderId="0" xfId="1" applyNumberFormat="1" applyFont="1" applyFill="1" applyAlignment="1">
      <alignment horizontal="center"/>
    </xf>
    <xf numFmtId="10" fontId="13" fillId="4" borderId="0" xfId="1" applyNumberFormat="1" applyFont="1" applyFill="1" applyAlignment="1">
      <alignment horizontal="center"/>
    </xf>
    <xf numFmtId="10" fontId="11" fillId="4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0" fontId="14" fillId="2" borderId="0" xfId="1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0" fontId="14" fillId="3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0" fontId="14" fillId="4" borderId="0" xfId="0" applyNumberFormat="1" applyFont="1" applyFill="1" applyAlignment="1">
      <alignment horizontal="center"/>
    </xf>
    <xf numFmtId="10" fontId="6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67" fontId="6" fillId="5" borderId="0" xfId="0" applyNumberFormat="1" applyFont="1" applyFill="1" applyAlignment="1">
      <alignment horizontal="center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textRotation="90" wrapText="1"/>
    </xf>
    <xf numFmtId="0" fontId="5" fillId="0" borderId="4" xfId="0" applyFont="1" applyBorder="1" applyAlignment="1">
      <alignment horizontal="center" vertical="center" textRotation="90" wrapText="1"/>
    </xf>
    <xf numFmtId="10" fontId="3" fillId="0" borderId="7" xfId="0" applyNumberFormat="1" applyFont="1" applyBorder="1" applyAlignment="1">
      <alignment horizontal="center" wrapText="1"/>
    </xf>
    <xf numFmtId="10" fontId="3" fillId="0" borderId="9" xfId="0" applyNumberFormat="1" applyFont="1" applyBorder="1" applyAlignment="1">
      <alignment horizontal="center" wrapText="1"/>
    </xf>
    <xf numFmtId="10" fontId="3" fillId="0" borderId="10" xfId="0" applyNumberFormat="1" applyFont="1" applyBorder="1" applyAlignment="1">
      <alignment horizontal="center" wrapText="1"/>
    </xf>
    <xf numFmtId="10" fontId="3" fillId="0" borderId="11" xfId="0" applyNumberFormat="1" applyFont="1" applyBorder="1" applyAlignment="1">
      <alignment horizontal="center" wrapText="1"/>
    </xf>
    <xf numFmtId="10" fontId="3" fillId="0" borderId="12" xfId="0" applyNumberFormat="1" applyFont="1" applyBorder="1" applyAlignment="1">
      <alignment horizontal="center" wrapText="1"/>
    </xf>
    <xf numFmtId="10" fontId="3" fillId="0" borderId="14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vertical="center" textRotation="90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104775</xdr:colOff>
      <xdr:row>31</xdr:row>
      <xdr:rowOff>85725</xdr:rowOff>
    </xdr:from>
    <xdr:to>
      <xdr:col>47</xdr:col>
      <xdr:colOff>552450</xdr:colOff>
      <xdr:row>35</xdr:row>
      <xdr:rowOff>171450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13350" y="6191250"/>
          <a:ext cx="2733675" cy="88582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52</xdr:col>
      <xdr:colOff>200025</xdr:colOff>
      <xdr:row>27</xdr:row>
      <xdr:rowOff>85725</xdr:rowOff>
    </xdr:from>
    <xdr:to>
      <xdr:col>53</xdr:col>
      <xdr:colOff>561975</xdr:colOff>
      <xdr:row>66</xdr:row>
      <xdr:rowOff>9526</xdr:rowOff>
    </xdr:to>
    <xdr:cxnSp macro="">
      <xdr:nvCxnSpPr>
        <xdr:cNvPr id="5" name="4 Conector recto de flecha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36804600" y="5391150"/>
          <a:ext cx="1123950" cy="7696201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200025</xdr:colOff>
      <xdr:row>65</xdr:row>
      <xdr:rowOff>104774</xdr:rowOff>
    </xdr:from>
    <xdr:to>
      <xdr:col>54</xdr:col>
      <xdr:colOff>66675</xdr:colOff>
      <xdr:row>68</xdr:row>
      <xdr:rowOff>200024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6804600" y="12973049"/>
          <a:ext cx="1390650" cy="695325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compárese con las probabiidades obtenidas antes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BC76"/>
  <sheetViews>
    <sheetView showGridLines="0" tabSelected="1" zoomScale="85" zoomScaleNormal="85" workbookViewId="0"/>
  </sheetViews>
  <sheetFormatPr defaultColWidth="11.42578125" defaultRowHeight="15" x14ac:dyDescent="0.25"/>
  <cols>
    <col min="1" max="1" width="4.85546875" style="1" customWidth="1"/>
    <col min="2" max="2" width="7" style="1" customWidth="1"/>
    <col min="3" max="3" width="5.140625" style="1" customWidth="1"/>
    <col min="4" max="6" width="11.42578125" style="1"/>
    <col min="7" max="7" width="12.28515625" style="1" bestFit="1" customWidth="1"/>
    <col min="8" max="10" width="11.42578125" style="1"/>
    <col min="11" max="11" width="13" style="1" customWidth="1"/>
    <col min="12" max="12" width="13.28515625" style="1" bestFit="1" customWidth="1"/>
    <col min="13" max="13" width="12.42578125" style="1" bestFit="1" customWidth="1"/>
    <col min="14" max="14" width="12" style="1" bestFit="1" customWidth="1"/>
    <col min="15" max="15" width="6.5703125" style="1" customWidth="1"/>
    <col min="16" max="16" width="5.140625" style="2" customWidth="1"/>
    <col min="17" max="17" width="6.28515625" style="1" customWidth="1"/>
    <col min="18" max="23" width="11.42578125" style="1"/>
    <col min="24" max="24" width="12" style="1" bestFit="1" customWidth="1"/>
    <col min="25" max="25" width="14" style="1" customWidth="1"/>
    <col min="26" max="27" width="12" style="1" bestFit="1" customWidth="1"/>
    <col min="28" max="28" width="11.42578125" style="1"/>
    <col min="29" max="29" width="5.140625" style="2" customWidth="1"/>
    <col min="30" max="30" width="6.28515625" style="1" customWidth="1"/>
    <col min="31" max="36" width="11.42578125" style="1"/>
    <col min="37" max="37" width="12" style="1" bestFit="1" customWidth="1"/>
    <col min="38" max="38" width="14" style="1" customWidth="1"/>
    <col min="39" max="39" width="12" style="1" bestFit="1" customWidth="1"/>
    <col min="40" max="41" width="11.42578125" style="1"/>
    <col min="42" max="42" width="5.140625" style="2" customWidth="1"/>
    <col min="43" max="43" width="6.28515625" style="1" customWidth="1"/>
    <col min="44" max="16384" width="11.42578125" style="1"/>
  </cols>
  <sheetData>
    <row r="3" spans="2:55" x14ac:dyDescent="0.25">
      <c r="R3" s="3" t="s">
        <v>67</v>
      </c>
      <c r="AE3" s="3" t="s">
        <v>68</v>
      </c>
      <c r="AR3" s="3" t="s">
        <v>69</v>
      </c>
    </row>
    <row r="4" spans="2:55" ht="15.75" thickBot="1" x14ac:dyDescent="0.3"/>
    <row r="5" spans="2:55" ht="15.75" thickBot="1" x14ac:dyDescent="0.3">
      <c r="Q5" s="96" t="s">
        <v>16</v>
      </c>
      <c r="R5" s="4"/>
      <c r="S5" s="4"/>
      <c r="T5" s="4"/>
      <c r="U5" s="4"/>
      <c r="V5" s="5">
        <f t="array" ref="V5:V13">H19:H27</f>
        <v>1.0404</v>
      </c>
      <c r="AD5" s="96" t="s">
        <v>33</v>
      </c>
      <c r="AE5" s="4"/>
      <c r="AF5" s="4"/>
      <c r="AG5" s="4"/>
      <c r="AH5" s="4"/>
      <c r="AI5" s="5">
        <f t="shared" ref="AI5:AI13" si="0">H29</f>
        <v>14</v>
      </c>
      <c r="AQ5" s="96" t="s">
        <v>16</v>
      </c>
      <c r="AR5" s="4"/>
      <c r="AS5" s="4"/>
      <c r="AT5" s="4"/>
      <c r="AU5" s="4"/>
      <c r="AV5" s="5">
        <f t="array" ref="AV5:AV13">V5:V13</f>
        <v>1.0404</v>
      </c>
      <c r="AX5" s="96" t="s">
        <v>33</v>
      </c>
      <c r="AY5" s="4"/>
      <c r="AZ5" s="4"/>
      <c r="BA5" s="4"/>
      <c r="BB5" s="4"/>
      <c r="BC5" s="5">
        <f t="array" ref="BC5:BC13">AI5:AI13</f>
        <v>14</v>
      </c>
    </row>
    <row r="6" spans="2:55" ht="15.75" thickBot="1" x14ac:dyDescent="0.3">
      <c r="Q6" s="97"/>
      <c r="R6" s="4"/>
      <c r="S6" s="4"/>
      <c r="T6" s="6">
        <f>F20</f>
        <v>1.02</v>
      </c>
      <c r="U6" s="4"/>
      <c r="V6" s="7">
        <v>1.0404</v>
      </c>
      <c r="AD6" s="97"/>
      <c r="AE6" s="4"/>
      <c r="AF6" s="4"/>
      <c r="AG6" s="6">
        <f>F30</f>
        <v>12</v>
      </c>
      <c r="AH6" s="4"/>
      <c r="AI6" s="7">
        <f t="shared" si="0"/>
        <v>12</v>
      </c>
      <c r="AQ6" s="97"/>
      <c r="AR6" s="4"/>
      <c r="AS6" s="4"/>
      <c r="AT6" s="63">
        <f>T6</f>
        <v>1.02</v>
      </c>
      <c r="AU6" s="4"/>
      <c r="AV6" s="7">
        <v>1.0404</v>
      </c>
      <c r="AX6" s="97"/>
      <c r="AY6" s="4"/>
      <c r="AZ6" s="4"/>
      <c r="BA6" s="6">
        <f>AG6</f>
        <v>12</v>
      </c>
      <c r="BB6" s="4"/>
      <c r="BC6" s="7">
        <v>12</v>
      </c>
    </row>
    <row r="7" spans="2:55" ht="15.75" thickBot="1" x14ac:dyDescent="0.3">
      <c r="Q7" s="97"/>
      <c r="R7" s="4"/>
      <c r="S7" s="4"/>
      <c r="T7" s="4"/>
      <c r="U7" s="4"/>
      <c r="V7" s="8">
        <v>1.0404</v>
      </c>
      <c r="AD7" s="97"/>
      <c r="AE7" s="4"/>
      <c r="AF7" s="4"/>
      <c r="AG7" s="4"/>
      <c r="AH7" s="4"/>
      <c r="AI7" s="8">
        <f t="shared" si="0"/>
        <v>5</v>
      </c>
      <c r="AQ7" s="97"/>
      <c r="AR7" s="4"/>
      <c r="AS7" s="4"/>
      <c r="AT7" s="4"/>
      <c r="AU7" s="4"/>
      <c r="AV7" s="8">
        <v>1.0404</v>
      </c>
      <c r="AX7" s="97"/>
      <c r="AY7" s="4"/>
      <c r="AZ7" s="4"/>
      <c r="BA7" s="4"/>
      <c r="BB7" s="4"/>
      <c r="BC7" s="8">
        <v>5</v>
      </c>
    </row>
    <row r="8" spans="2:55" ht="13.5" customHeight="1" thickBot="1" x14ac:dyDescent="0.3">
      <c r="J8" s="1" t="s">
        <v>60</v>
      </c>
      <c r="Q8" s="97"/>
      <c r="R8" s="4"/>
      <c r="S8" s="4"/>
      <c r="T8" s="4"/>
      <c r="U8" s="4"/>
      <c r="V8" s="5">
        <v>1.0404</v>
      </c>
      <c r="AD8" s="97"/>
      <c r="AE8" s="4"/>
      <c r="AF8" s="4"/>
      <c r="AG8" s="4"/>
      <c r="AH8" s="4"/>
      <c r="AI8" s="5">
        <f t="shared" si="0"/>
        <v>11</v>
      </c>
      <c r="AQ8" s="97"/>
      <c r="AR8" s="4"/>
      <c r="AS8" s="4"/>
      <c r="AT8" s="4"/>
      <c r="AU8" s="4"/>
      <c r="AV8" s="5">
        <v>1.0404</v>
      </c>
      <c r="AX8" s="97"/>
      <c r="AY8" s="4"/>
      <c r="AZ8" s="4"/>
      <c r="BA8" s="4"/>
      <c r="BB8" s="4"/>
      <c r="BC8" s="5">
        <v>11</v>
      </c>
    </row>
    <row r="9" spans="2:55" ht="13.5" customHeight="1" thickBot="1" x14ac:dyDescent="0.3">
      <c r="Q9" s="97"/>
      <c r="R9" s="9">
        <f>D23</f>
        <v>1</v>
      </c>
      <c r="S9" s="4"/>
      <c r="T9" s="6">
        <f>F23</f>
        <v>1.02</v>
      </c>
      <c r="U9" s="4"/>
      <c r="V9" s="7">
        <v>1.0404</v>
      </c>
      <c r="AD9" s="97"/>
      <c r="AE9" s="9">
        <f>D33</f>
        <v>10</v>
      </c>
      <c r="AF9" s="4"/>
      <c r="AG9" s="6">
        <f>F33</f>
        <v>10</v>
      </c>
      <c r="AH9" s="4"/>
      <c r="AI9" s="7">
        <f t="shared" si="0"/>
        <v>10</v>
      </c>
      <c r="AQ9" s="97"/>
      <c r="AR9" s="9">
        <f>Num0</f>
        <v>1</v>
      </c>
      <c r="AS9" s="4"/>
      <c r="AT9" s="63">
        <f>T9</f>
        <v>1.02</v>
      </c>
      <c r="AU9" s="4"/>
      <c r="AV9" s="7">
        <v>1.0404</v>
      </c>
      <c r="AX9" s="97"/>
      <c r="AY9" s="9">
        <f>AE9</f>
        <v>10</v>
      </c>
      <c r="AZ9" s="4"/>
      <c r="BA9" s="6">
        <f>AG9</f>
        <v>10</v>
      </c>
      <c r="BB9" s="4"/>
      <c r="BC9" s="7">
        <v>10</v>
      </c>
    </row>
    <row r="10" spans="2:55" ht="15.75" thickBot="1" x14ac:dyDescent="0.3">
      <c r="J10" s="1" t="s">
        <v>61</v>
      </c>
      <c r="Q10" s="97"/>
      <c r="R10" s="4"/>
      <c r="S10" s="4"/>
      <c r="T10" s="4"/>
      <c r="U10" s="4"/>
      <c r="V10" s="8">
        <v>1.0404</v>
      </c>
      <c r="AD10" s="97"/>
      <c r="AE10" s="4"/>
      <c r="AF10" s="4"/>
      <c r="AG10" s="4"/>
      <c r="AH10" s="4"/>
      <c r="AI10" s="8">
        <f t="shared" si="0"/>
        <v>9</v>
      </c>
      <c r="AQ10" s="97"/>
      <c r="AR10" s="4"/>
      <c r="AS10" s="4"/>
      <c r="AT10" s="4"/>
      <c r="AU10" s="4"/>
      <c r="AV10" s="8">
        <v>1.0404</v>
      </c>
      <c r="AX10" s="97"/>
      <c r="AY10" s="4"/>
      <c r="AZ10" s="4"/>
      <c r="BA10" s="4"/>
      <c r="BB10" s="4"/>
      <c r="BC10" s="8">
        <v>9</v>
      </c>
    </row>
    <row r="11" spans="2:55" ht="15.75" thickBot="1" x14ac:dyDescent="0.3">
      <c r="J11" s="1" t="s">
        <v>62</v>
      </c>
      <c r="Q11" s="97"/>
      <c r="R11" s="4"/>
      <c r="S11" s="4"/>
      <c r="T11" s="4"/>
      <c r="U11" s="4"/>
      <c r="V11" s="5">
        <v>1.0404</v>
      </c>
      <c r="AD11" s="97"/>
      <c r="AE11" s="4"/>
      <c r="AF11" s="4"/>
      <c r="AG11" s="4"/>
      <c r="AH11" s="4"/>
      <c r="AI11" s="5">
        <f t="shared" si="0"/>
        <v>11</v>
      </c>
      <c r="AQ11" s="97"/>
      <c r="AR11" s="4"/>
      <c r="AS11" s="4"/>
      <c r="AT11" s="4"/>
      <c r="AU11" s="4"/>
      <c r="AV11" s="5">
        <v>1.0404</v>
      </c>
      <c r="AX11" s="97"/>
      <c r="AY11" s="4"/>
      <c r="AZ11" s="4"/>
      <c r="BA11" s="4"/>
      <c r="BB11" s="4"/>
      <c r="BC11" s="5">
        <v>11</v>
      </c>
    </row>
    <row r="12" spans="2:55" ht="15.75" thickBot="1" x14ac:dyDescent="0.3">
      <c r="B12" s="3" t="s">
        <v>32</v>
      </c>
      <c r="J12" s="1" t="s">
        <v>63</v>
      </c>
      <c r="Q12" s="97"/>
      <c r="R12" s="4"/>
      <c r="S12" s="4"/>
      <c r="T12" s="6">
        <f>F26</f>
        <v>1.02</v>
      </c>
      <c r="U12" s="4"/>
      <c r="V12" s="7">
        <v>1.0404</v>
      </c>
      <c r="AD12" s="97"/>
      <c r="AE12" s="4"/>
      <c r="AF12" s="4"/>
      <c r="AG12" s="6">
        <f>F36</f>
        <v>8</v>
      </c>
      <c r="AH12" s="4"/>
      <c r="AI12" s="7">
        <f t="shared" si="0"/>
        <v>8</v>
      </c>
      <c r="AQ12" s="97"/>
      <c r="AR12" s="4"/>
      <c r="AS12" s="4"/>
      <c r="AT12" s="63">
        <f>T12</f>
        <v>1.02</v>
      </c>
      <c r="AU12" s="4"/>
      <c r="AV12" s="7">
        <v>1.0404</v>
      </c>
      <c r="AX12" s="97"/>
      <c r="AY12" s="4"/>
      <c r="AZ12" s="4"/>
      <c r="BA12" s="6">
        <f>AG12</f>
        <v>8</v>
      </c>
      <c r="BB12" s="4"/>
      <c r="BC12" s="7">
        <v>8</v>
      </c>
    </row>
    <row r="13" spans="2:55" ht="15.75" thickBot="1" x14ac:dyDescent="0.3">
      <c r="J13" s="1" t="s">
        <v>64</v>
      </c>
      <c r="Q13" s="98"/>
      <c r="R13" s="4"/>
      <c r="S13" s="4"/>
      <c r="T13" s="4"/>
      <c r="U13" s="4"/>
      <c r="V13" s="8">
        <v>1.0404</v>
      </c>
      <c r="AD13" s="98"/>
      <c r="AE13" s="4"/>
      <c r="AF13" s="4"/>
      <c r="AG13" s="4"/>
      <c r="AH13" s="4"/>
      <c r="AI13" s="8">
        <f t="shared" si="0"/>
        <v>7</v>
      </c>
      <c r="AQ13" s="98"/>
      <c r="AR13" s="4"/>
      <c r="AS13" s="4"/>
      <c r="AT13" s="4"/>
      <c r="AU13" s="4"/>
      <c r="AV13" s="8">
        <v>1.0404</v>
      </c>
      <c r="AX13" s="98"/>
      <c r="AY13" s="4"/>
      <c r="AZ13" s="4"/>
      <c r="BA13" s="4"/>
      <c r="BB13" s="4"/>
      <c r="BC13" s="8">
        <v>7</v>
      </c>
    </row>
    <row r="14" spans="2:55" x14ac:dyDescent="0.25">
      <c r="Q14" s="10"/>
      <c r="AD14" s="10"/>
      <c r="AQ14" s="10"/>
    </row>
    <row r="15" spans="2:55" ht="15.75" thickBot="1" x14ac:dyDescent="0.3">
      <c r="Q15" s="10"/>
      <c r="AD15" s="10"/>
      <c r="AQ15" s="10"/>
    </row>
    <row r="16" spans="2:55" ht="15.75" thickBot="1" x14ac:dyDescent="0.3">
      <c r="D16" s="11" t="s">
        <v>0</v>
      </c>
      <c r="E16" s="12">
        <v>0.02</v>
      </c>
      <c r="Q16" s="10"/>
      <c r="X16" s="106" t="s">
        <v>18</v>
      </c>
      <c r="Y16" s="107"/>
      <c r="Z16" s="106" t="s">
        <v>22</v>
      </c>
      <c r="AA16" s="107"/>
      <c r="AD16" s="10"/>
      <c r="AK16" s="106" t="s">
        <v>18</v>
      </c>
      <c r="AL16" s="107"/>
      <c r="AM16" s="106" t="s">
        <v>22</v>
      </c>
      <c r="AN16" s="107"/>
      <c r="AQ16" s="10"/>
      <c r="AR16" s="3" t="s">
        <v>57</v>
      </c>
      <c r="AY16" s="3" t="s">
        <v>58</v>
      </c>
    </row>
    <row r="17" spans="2:55" ht="15.75" thickBot="1" x14ac:dyDescent="0.3">
      <c r="X17" s="108"/>
      <c r="Y17" s="109"/>
      <c r="Z17" s="108"/>
      <c r="AA17" s="109"/>
      <c r="AK17" s="108"/>
      <c r="AL17" s="109"/>
      <c r="AM17" s="108"/>
      <c r="AN17" s="109"/>
    </row>
    <row r="18" spans="2:55" ht="15.75" thickBot="1" x14ac:dyDescent="0.3">
      <c r="U18" s="13" t="s">
        <v>17</v>
      </c>
      <c r="X18" s="44"/>
      <c r="Y18" s="34"/>
      <c r="Z18" s="44"/>
      <c r="AA18" s="44"/>
      <c r="AH18" s="13" t="s">
        <v>17</v>
      </c>
      <c r="AK18" s="44"/>
      <c r="AL18" s="34"/>
      <c r="AM18" s="44"/>
      <c r="AN18" s="44"/>
      <c r="AU18" s="13"/>
      <c r="BB18" s="13"/>
    </row>
    <row r="19" spans="2:55" ht="15.75" thickBot="1" x14ac:dyDescent="0.3">
      <c r="B19" s="96" t="s">
        <v>1</v>
      </c>
      <c r="D19" s="14"/>
      <c r="E19" s="14"/>
      <c r="F19" s="14"/>
      <c r="G19" s="14"/>
      <c r="H19" s="15">
        <f t="shared" ref="H19:H27" si="1">(1+tipo)^2</f>
        <v>1.0404</v>
      </c>
      <c r="Q19" s="96" t="s">
        <v>12</v>
      </c>
      <c r="R19" s="14"/>
      <c r="S19" s="87"/>
      <c r="T19" s="14"/>
      <c r="U19" s="78">
        <v>0.67999999426610069</v>
      </c>
      <c r="V19" s="15">
        <f t="array" ref="V19:V27">H19:H27/$V$5:$V$13</f>
        <v>1</v>
      </c>
      <c r="X19" s="45"/>
      <c r="Y19" s="38"/>
      <c r="Z19" s="45"/>
      <c r="AA19" s="45"/>
      <c r="AD19" s="96" t="s">
        <v>34</v>
      </c>
      <c r="AE19" s="14"/>
      <c r="AF19" s="14"/>
      <c r="AG19" s="14"/>
      <c r="AH19" s="78">
        <v>0.77777782859387001</v>
      </c>
      <c r="AI19" s="15">
        <f t="array" ref="AI19:AI27">H19:H27/AI5:AI13</f>
        <v>7.4314285714285708E-2</v>
      </c>
      <c r="AK19" s="45"/>
      <c r="AL19" s="38"/>
      <c r="AM19" s="45"/>
      <c r="AN19" s="45"/>
      <c r="AQ19" s="105"/>
      <c r="AR19" s="87"/>
      <c r="AS19" s="87"/>
      <c r="AT19" s="87"/>
      <c r="AU19" s="78">
        <f t="array" ref="AU19:AU27">U19:U27</f>
        <v>0.67999999426610069</v>
      </c>
      <c r="AV19" s="67"/>
      <c r="AW19" s="66"/>
      <c r="AX19" s="66"/>
      <c r="AY19" s="87"/>
      <c r="AZ19" s="87"/>
      <c r="BA19" s="87"/>
      <c r="BB19" s="78">
        <f t="array" ref="BB19:BB27">AH19:AH27</f>
        <v>0.77777782859387001</v>
      </c>
      <c r="BC19" s="67"/>
    </row>
    <row r="20" spans="2:55" ht="15.75" thickBot="1" x14ac:dyDescent="0.3">
      <c r="B20" s="97"/>
      <c r="D20" s="14"/>
      <c r="E20" s="14"/>
      <c r="F20" s="16">
        <f>(1+tipo)</f>
        <v>1.02</v>
      </c>
      <c r="G20" s="14"/>
      <c r="H20" s="17">
        <f t="shared" si="1"/>
        <v>1.0404</v>
      </c>
      <c r="Q20" s="97"/>
      <c r="R20" s="14"/>
      <c r="S20" s="88">
        <v>0.53500013573485683</v>
      </c>
      <c r="T20" s="16">
        <f>F20/$T$6</f>
        <v>1</v>
      </c>
      <c r="U20" s="78">
        <v>0.16000004382903221</v>
      </c>
      <c r="V20" s="17">
        <v>1</v>
      </c>
      <c r="X20" s="70">
        <f>(SUMPRODUCT(V19:V21,U19:U21)-T20)^2*10000</f>
        <v>6.2112091562012298E-14</v>
      </c>
      <c r="Y20" s="38"/>
      <c r="Z20" s="45"/>
      <c r="AA20" s="45"/>
      <c r="AD20" s="97"/>
      <c r="AE20" s="14"/>
      <c r="AF20" s="88">
        <v>0.62941221251913915</v>
      </c>
      <c r="AG20" s="16">
        <f>F20/$AG6</f>
        <v>8.5000000000000006E-2</v>
      </c>
      <c r="AH20" s="78">
        <v>0.1568628016157034</v>
      </c>
      <c r="AI20" s="17">
        <v>8.6699999999999999E-2</v>
      </c>
      <c r="AK20" s="70">
        <f>(SUMPRODUCT(AI19:AI21,AH19:AH21)-AG20)^2</f>
        <v>7.8923787023556695E-16</v>
      </c>
      <c r="AL20" s="38"/>
      <c r="AM20" s="45"/>
      <c r="AN20" s="45"/>
      <c r="AQ20" s="105"/>
      <c r="AR20" s="87"/>
      <c r="AS20" s="88">
        <f>S20</f>
        <v>0.53500013573485683</v>
      </c>
      <c r="AT20" s="65"/>
      <c r="AU20" s="78">
        <v>0.16000004382903221</v>
      </c>
      <c r="AV20" s="68"/>
      <c r="AW20" s="66"/>
      <c r="AX20" s="66"/>
      <c r="AY20" s="87"/>
      <c r="AZ20" s="88">
        <f>AF20</f>
        <v>0.62941221251913915</v>
      </c>
      <c r="BA20" s="65"/>
      <c r="BB20" s="78">
        <v>0.1568628016157034</v>
      </c>
      <c r="BC20" s="68"/>
    </row>
    <row r="21" spans="2:55" ht="15.75" thickBot="1" x14ac:dyDescent="0.3">
      <c r="B21" s="97"/>
      <c r="D21" s="14"/>
      <c r="E21" s="14"/>
      <c r="F21" s="14"/>
      <c r="G21" s="14"/>
      <c r="H21" s="18">
        <f t="shared" si="1"/>
        <v>1.0404</v>
      </c>
      <c r="Q21" s="97"/>
      <c r="R21" s="14"/>
      <c r="S21" s="87"/>
      <c r="T21" s="14"/>
      <c r="U21" s="78">
        <v>0.15999996439709679</v>
      </c>
      <c r="V21" s="18">
        <v>1</v>
      </c>
      <c r="X21" s="45"/>
      <c r="Y21" s="38"/>
      <c r="Z21" s="45"/>
      <c r="AA21" s="45"/>
      <c r="AD21" s="97"/>
      <c r="AE21" s="14"/>
      <c r="AF21" s="87"/>
      <c r="AG21" s="14"/>
      <c r="AH21" s="78">
        <v>6.5359300414164004E-2</v>
      </c>
      <c r="AI21" s="18">
        <v>0.20807999999999999</v>
      </c>
      <c r="AK21" s="45"/>
      <c r="AL21" s="38"/>
      <c r="AM21" s="45"/>
      <c r="AN21" s="45"/>
      <c r="AQ21" s="105"/>
      <c r="AR21" s="87"/>
      <c r="AS21" s="87"/>
      <c r="AT21" s="87"/>
      <c r="AU21" s="78">
        <v>0.15999996439709679</v>
      </c>
      <c r="AV21" s="69"/>
      <c r="AW21" s="66"/>
      <c r="AX21" s="66"/>
      <c r="AY21" s="87"/>
      <c r="AZ21" s="87"/>
      <c r="BA21" s="87"/>
      <c r="BB21" s="78">
        <v>6.5359300414164004E-2</v>
      </c>
      <c r="BC21" s="69"/>
    </row>
    <row r="22" spans="2:55" ht="15.75" thickBot="1" x14ac:dyDescent="0.3">
      <c r="B22" s="97"/>
      <c r="C22" s="19"/>
      <c r="D22" s="14"/>
      <c r="E22" s="14"/>
      <c r="F22" s="14"/>
      <c r="G22" s="14"/>
      <c r="H22" s="15">
        <f t="shared" si="1"/>
        <v>1.0404</v>
      </c>
      <c r="Q22" s="97"/>
      <c r="R22" s="14"/>
      <c r="S22" s="87"/>
      <c r="T22" s="14"/>
      <c r="U22" s="79">
        <v>0.33666658569294566</v>
      </c>
      <c r="V22" s="15">
        <v>1</v>
      </c>
      <c r="X22" s="45"/>
      <c r="Y22" s="38"/>
      <c r="Z22" s="45"/>
      <c r="AA22" s="45"/>
      <c r="AD22" s="97"/>
      <c r="AE22" s="14"/>
      <c r="AF22" s="87"/>
      <c r="AG22" s="14"/>
      <c r="AH22" s="79">
        <v>0.36307350776982084</v>
      </c>
      <c r="AI22" s="15">
        <v>9.4581818181818184E-2</v>
      </c>
      <c r="AK22" s="45"/>
      <c r="AL22" s="38"/>
      <c r="AM22" s="45"/>
      <c r="AN22" s="45"/>
      <c r="AQ22" s="105"/>
      <c r="AR22" s="87"/>
      <c r="AS22" s="87"/>
      <c r="AT22" s="87"/>
      <c r="AU22" s="79">
        <v>0.33666658569294566</v>
      </c>
      <c r="AV22" s="67"/>
      <c r="AW22" s="66"/>
      <c r="AX22" s="66"/>
      <c r="AY22" s="87"/>
      <c r="AZ22" s="87"/>
      <c r="BA22" s="87"/>
      <c r="BB22" s="79">
        <v>0.36307350776982084</v>
      </c>
      <c r="BC22" s="67"/>
    </row>
    <row r="23" spans="2:55" ht="15.75" thickBot="1" x14ac:dyDescent="0.3">
      <c r="B23" s="97"/>
      <c r="D23" s="16">
        <v>1</v>
      </c>
      <c r="E23" s="14"/>
      <c r="F23" s="16">
        <f>(1+tipo)</f>
        <v>1.02</v>
      </c>
      <c r="G23" s="14"/>
      <c r="H23" s="17">
        <f t="shared" si="1"/>
        <v>1.0404</v>
      </c>
      <c r="Q23" s="97"/>
      <c r="R23" s="16">
        <f>D23/Num0</f>
        <v>1</v>
      </c>
      <c r="S23" s="88">
        <v>3.0000027638011684E-2</v>
      </c>
      <c r="T23" s="16">
        <f>F23/$T$9</f>
        <v>1</v>
      </c>
      <c r="U23" s="79">
        <v>0.52666657259910687</v>
      </c>
      <c r="V23" s="17">
        <v>1</v>
      </c>
      <c r="X23" s="72">
        <f>(SUMPRODUCT(V22:V24,U22:U24)-T23)^2*10000</f>
        <v>6.0085166150261259E-11</v>
      </c>
      <c r="Y23" s="38"/>
      <c r="Z23" s="76">
        <f>(SUMPRODUCT(T20:T26,S20:S26)-R23)^2</f>
        <v>5.0670837097386555E-16</v>
      </c>
      <c r="AA23" s="45"/>
      <c r="AD23" s="97"/>
      <c r="AE23" s="16">
        <f>D23/$AE$9</f>
        <v>0.1</v>
      </c>
      <c r="AF23" s="88">
        <v>2.9412529226376879E-2</v>
      </c>
      <c r="AG23" s="16">
        <f>F23/$AG9</f>
        <v>0.10200000000000001</v>
      </c>
      <c r="AH23" s="79">
        <v>0.51633822601905999</v>
      </c>
      <c r="AI23" s="17">
        <v>0.10403999999999999</v>
      </c>
      <c r="AK23" s="72">
        <f>(SUMPRODUCT(AI22:AI24,AH22:AH24)-AG23)^2</f>
        <v>1.6038331302273658E-16</v>
      </c>
      <c r="AL23" s="38"/>
      <c r="AM23" s="76">
        <f>(SUMPRODUCT(AG20:AG26,AF20:AF26)-AE23)^2</f>
        <v>4.050037086067772E-19</v>
      </c>
      <c r="AN23" s="45"/>
      <c r="AQ23" s="105"/>
      <c r="AR23" s="65"/>
      <c r="AS23" s="88">
        <f>S23</f>
        <v>3.0000027638011684E-2</v>
      </c>
      <c r="AT23" s="65"/>
      <c r="AU23" s="79">
        <v>0.52666657259910687</v>
      </c>
      <c r="AV23" s="68"/>
      <c r="AW23" s="66"/>
      <c r="AX23" s="66"/>
      <c r="AY23" s="65"/>
      <c r="AZ23" s="88">
        <f>AF23</f>
        <v>2.9412529226376879E-2</v>
      </c>
      <c r="BA23" s="65"/>
      <c r="BB23" s="79">
        <v>0.51633822601905999</v>
      </c>
      <c r="BC23" s="68"/>
    </row>
    <row r="24" spans="2:55" ht="15.75" thickBot="1" x14ac:dyDescent="0.3">
      <c r="B24" s="97"/>
      <c r="D24" s="14"/>
      <c r="E24" s="14"/>
      <c r="F24" s="14"/>
      <c r="G24" s="14"/>
      <c r="H24" s="18">
        <f t="shared" si="1"/>
        <v>1.0404</v>
      </c>
      <c r="Q24" s="97"/>
      <c r="R24" s="14"/>
      <c r="S24" s="87"/>
      <c r="T24" s="14"/>
      <c r="U24" s="79">
        <v>0.13666676419332555</v>
      </c>
      <c r="V24" s="18">
        <v>1</v>
      </c>
      <c r="X24" s="45"/>
      <c r="Y24" s="38"/>
      <c r="Z24" s="45"/>
      <c r="AA24" s="45"/>
      <c r="AD24" s="97"/>
      <c r="AE24" s="14"/>
      <c r="AF24" s="87"/>
      <c r="AG24" s="14"/>
      <c r="AH24" s="79">
        <v>0.12058828548618961</v>
      </c>
      <c r="AI24" s="18">
        <v>0.11559999999999999</v>
      </c>
      <c r="AK24" s="45"/>
      <c r="AL24" s="38"/>
      <c r="AM24" s="45"/>
      <c r="AN24" s="45"/>
      <c r="AQ24" s="105"/>
      <c r="AR24" s="87"/>
      <c r="AS24" s="87"/>
      <c r="AT24" s="87"/>
      <c r="AU24" s="79">
        <v>0.13666676419332555</v>
      </c>
      <c r="AV24" s="69"/>
      <c r="AW24" s="66"/>
      <c r="AX24" s="66"/>
      <c r="AY24" s="87"/>
      <c r="AZ24" s="87"/>
      <c r="BA24" s="87"/>
      <c r="BB24" s="79">
        <v>0.12058828548618961</v>
      </c>
      <c r="BC24" s="69"/>
    </row>
    <row r="25" spans="2:55" ht="15.75" thickBot="1" x14ac:dyDescent="0.3">
      <c r="B25" s="97"/>
      <c r="D25" s="14"/>
      <c r="E25" s="14"/>
      <c r="F25" s="14"/>
      <c r="G25" s="14"/>
      <c r="H25" s="15">
        <f t="shared" si="1"/>
        <v>1.0404</v>
      </c>
      <c r="Q25" s="97"/>
      <c r="R25" s="14"/>
      <c r="S25" s="87"/>
      <c r="T25" s="14"/>
      <c r="U25" s="80">
        <v>0.13636338670336451</v>
      </c>
      <c r="V25" s="15">
        <v>1</v>
      </c>
      <c r="X25" s="45"/>
      <c r="Y25" s="38"/>
      <c r="Z25" s="45"/>
      <c r="AA25" s="45"/>
      <c r="AD25" s="97"/>
      <c r="AE25" s="14"/>
      <c r="AF25" s="87"/>
      <c r="AG25" s="14"/>
      <c r="AH25" s="80">
        <v>0.18381578812823185</v>
      </c>
      <c r="AI25" s="15">
        <v>9.4581818181818184E-2</v>
      </c>
      <c r="AK25" s="45"/>
      <c r="AL25" s="38"/>
      <c r="AM25" s="45"/>
      <c r="AN25" s="45"/>
      <c r="AQ25" s="105"/>
      <c r="AR25" s="87"/>
      <c r="AS25" s="87"/>
      <c r="AT25" s="87"/>
      <c r="AU25" s="80">
        <v>0.13636338670336451</v>
      </c>
      <c r="AV25" s="67"/>
      <c r="AW25" s="66"/>
      <c r="AX25" s="66"/>
      <c r="AY25" s="87"/>
      <c r="AZ25" s="87"/>
      <c r="BA25" s="87"/>
      <c r="BB25" s="80">
        <v>0.18381578812823185</v>
      </c>
      <c r="BC25" s="67"/>
    </row>
    <row r="26" spans="2:55" ht="15.75" thickBot="1" x14ac:dyDescent="0.3">
      <c r="B26" s="97"/>
      <c r="D26" s="14"/>
      <c r="E26" s="14"/>
      <c r="F26" s="16">
        <f>(1+tipo)</f>
        <v>1.02</v>
      </c>
      <c r="G26" s="14"/>
      <c r="H26" s="17">
        <f t="shared" si="1"/>
        <v>1.0404</v>
      </c>
      <c r="Q26" s="97"/>
      <c r="R26" s="14"/>
      <c r="S26" s="88">
        <v>0.43499981411694777</v>
      </c>
      <c r="T26" s="16">
        <f>F26/$T$12</f>
        <v>1</v>
      </c>
      <c r="U26" s="80">
        <v>0.61454506329400449</v>
      </c>
      <c r="V26" s="17">
        <v>1</v>
      </c>
      <c r="X26" s="74">
        <f>(SUMPRODUCT(V25:V27,U25:U27)-T26)^2*10000</f>
        <v>6.4252334855091595E-10</v>
      </c>
      <c r="Y26" s="48" t="s">
        <v>19</v>
      </c>
      <c r="Z26" s="45"/>
      <c r="AA26" s="45"/>
      <c r="AD26" s="97"/>
      <c r="AE26" s="14"/>
      <c r="AF26" s="88">
        <v>0.34117556542103333</v>
      </c>
      <c r="AG26" s="16">
        <f>F26/$AG12</f>
        <v>0.1275</v>
      </c>
      <c r="AH26" s="80">
        <v>0.60250794870802105</v>
      </c>
      <c r="AI26" s="17">
        <v>0.13005</v>
      </c>
      <c r="AK26" s="74">
        <f>(SUMPRODUCT(AI25:AI27,AH25:AH27)-AG26)^2</f>
        <v>1.1746028636985962E-14</v>
      </c>
      <c r="AL26" s="48"/>
      <c r="AM26" s="45"/>
      <c r="AN26" s="45"/>
      <c r="AQ26" s="105"/>
      <c r="AR26" s="87"/>
      <c r="AS26" s="88">
        <f>S26</f>
        <v>0.43499981411694777</v>
      </c>
      <c r="AT26" s="65"/>
      <c r="AU26" s="80">
        <v>0.61454506329400449</v>
      </c>
      <c r="AV26" s="68"/>
      <c r="AW26" s="66"/>
      <c r="AX26" s="66"/>
      <c r="AY26" s="87"/>
      <c r="AZ26" s="88">
        <f>AF26</f>
        <v>0.34117556542103333</v>
      </c>
      <c r="BA26" s="65"/>
      <c r="BB26" s="80">
        <v>0.60250794870802105</v>
      </c>
      <c r="BC26" s="68"/>
    </row>
    <row r="27" spans="2:55" ht="15.75" thickBot="1" x14ac:dyDescent="0.3">
      <c r="B27" s="98"/>
      <c r="D27" s="14"/>
      <c r="E27" s="14"/>
      <c r="F27" s="14"/>
      <c r="G27" s="14"/>
      <c r="H27" s="18">
        <f t="shared" si="1"/>
        <v>1.0404</v>
      </c>
      <c r="Q27" s="98"/>
      <c r="R27" s="14"/>
      <c r="S27" s="87"/>
      <c r="T27" s="14"/>
      <c r="U27" s="80">
        <v>0.2490912965221882</v>
      </c>
      <c r="V27" s="18">
        <v>1</v>
      </c>
      <c r="X27" s="45"/>
      <c r="Y27" s="71">
        <f>X20+X30+X39</f>
        <v>7.1797471436490248E-10</v>
      </c>
      <c r="Z27" s="45"/>
      <c r="AA27" s="45"/>
      <c r="AD27" s="98"/>
      <c r="AE27" s="14"/>
      <c r="AF27" s="87"/>
      <c r="AG27" s="14"/>
      <c r="AH27" s="80">
        <v>0.2136757279752852</v>
      </c>
      <c r="AI27" s="18">
        <v>0.14862857142857142</v>
      </c>
      <c r="AK27" s="45"/>
      <c r="AL27" s="71"/>
      <c r="AM27" s="45"/>
      <c r="AN27" s="45"/>
      <c r="AQ27" s="105"/>
      <c r="AR27" s="87"/>
      <c r="AS27" s="87"/>
      <c r="AT27" s="87"/>
      <c r="AU27" s="80">
        <v>0.2490912965221882</v>
      </c>
      <c r="AV27" s="69"/>
      <c r="AW27" s="66"/>
      <c r="AX27" s="66"/>
      <c r="AY27" s="87"/>
      <c r="AZ27" s="87"/>
      <c r="BA27" s="87"/>
      <c r="BB27" s="80">
        <v>0.2136757279752852</v>
      </c>
      <c r="BC27" s="69"/>
    </row>
    <row r="28" spans="2:55" ht="15.75" thickBot="1" x14ac:dyDescent="0.3">
      <c r="S28" s="66"/>
      <c r="U28" s="66"/>
      <c r="X28" s="45"/>
      <c r="Y28" s="49" t="s">
        <v>20</v>
      </c>
      <c r="Z28" s="45"/>
      <c r="AA28" s="45"/>
      <c r="AF28" s="66"/>
      <c r="AH28" s="66"/>
      <c r="AK28" s="45"/>
      <c r="AL28" s="49"/>
      <c r="AM28" s="45"/>
      <c r="AN28" s="45"/>
    </row>
    <row r="29" spans="2:55" ht="15.75" thickBot="1" x14ac:dyDescent="0.3">
      <c r="B29" s="96" t="s">
        <v>2</v>
      </c>
      <c r="D29" s="20"/>
      <c r="E29" s="20"/>
      <c r="F29" s="20"/>
      <c r="G29" s="20"/>
      <c r="H29" s="21">
        <v>14</v>
      </c>
      <c r="Q29" s="96" t="s">
        <v>15</v>
      </c>
      <c r="R29" s="20"/>
      <c r="S29" s="89"/>
      <c r="T29" s="20"/>
      <c r="U29" s="81">
        <f t="array" ref="U29:U37">U19:U27</f>
        <v>0.67999999426610069</v>
      </c>
      <c r="V29" s="21">
        <f t="array" ref="V29:V37">H29:H37/$V$5:$V$13</f>
        <v>13.456362937331795</v>
      </c>
      <c r="X29" s="45"/>
      <c r="Y29" s="73">
        <f>X23+X33+X42</f>
        <v>1.9297353845202675E-8</v>
      </c>
      <c r="Z29" s="45"/>
      <c r="AA29" s="45"/>
      <c r="AD29" s="96" t="s">
        <v>35</v>
      </c>
      <c r="AE29" s="20"/>
      <c r="AF29" s="89"/>
      <c r="AG29" s="20"/>
      <c r="AH29" s="81">
        <f t="array" ref="AH29:AH37">AH19:AH27</f>
        <v>0.77777782859387001</v>
      </c>
      <c r="AI29" s="21">
        <f t="array" ref="AI29:AI37">H29:H37/$AI$5:$AI$13</f>
        <v>1</v>
      </c>
      <c r="AK29" s="45"/>
      <c r="AL29" s="73"/>
      <c r="AM29" s="45"/>
      <c r="AN29" s="45"/>
      <c r="AQ29" s="105"/>
      <c r="AU29" s="60"/>
    </row>
    <row r="30" spans="2:55" ht="15.75" thickBot="1" x14ac:dyDescent="0.3">
      <c r="B30" s="97"/>
      <c r="D30" s="20"/>
      <c r="E30" s="20"/>
      <c r="F30" s="22">
        <v>12</v>
      </c>
      <c r="G30" s="20"/>
      <c r="H30" s="23">
        <v>12</v>
      </c>
      <c r="Q30" s="97"/>
      <c r="R30" s="20"/>
      <c r="S30" s="90">
        <f>S20</f>
        <v>0.53500013573485683</v>
      </c>
      <c r="T30" s="22">
        <f>F30/$T$6</f>
        <v>11.76470588235294</v>
      </c>
      <c r="U30" s="81">
        <v>0.16000004382903221</v>
      </c>
      <c r="V30" s="23">
        <v>11.534025374855824</v>
      </c>
      <c r="X30" s="70">
        <f>(SUMPRODUCT(V29:V31,U29:U31)-T30)^2*10000</f>
        <v>6.6185663399917115E-10</v>
      </c>
      <c r="Y30" s="49" t="s">
        <v>21</v>
      </c>
      <c r="Z30" s="45"/>
      <c r="AA30" s="45"/>
      <c r="AD30" s="97"/>
      <c r="AE30" s="20"/>
      <c r="AF30" s="90">
        <f>AF20</f>
        <v>0.62941221251913915</v>
      </c>
      <c r="AG30" s="22">
        <f>F30/AG6</f>
        <v>1</v>
      </c>
      <c r="AH30" s="81">
        <v>0.1568628016157034</v>
      </c>
      <c r="AI30" s="23">
        <v>1</v>
      </c>
      <c r="AK30" s="70">
        <f>(SUMPRODUCT(AI29:AI31,AH29:AH31)-AG30)^2</f>
        <v>4.8130658002140123E-15</v>
      </c>
      <c r="AL30" s="49" t="s">
        <v>19</v>
      </c>
      <c r="AM30" s="45"/>
      <c r="AN30" s="45"/>
      <c r="AQ30" s="105"/>
      <c r="AS30" s="3" t="s">
        <v>38</v>
      </c>
      <c r="AU30" s="60"/>
    </row>
    <row r="31" spans="2:55" ht="15.75" thickBot="1" x14ac:dyDescent="0.3">
      <c r="B31" s="97"/>
      <c r="D31" s="20"/>
      <c r="E31" s="20"/>
      <c r="F31" s="20"/>
      <c r="G31" s="20"/>
      <c r="H31" s="24">
        <v>5</v>
      </c>
      <c r="Q31" s="97"/>
      <c r="R31" s="20"/>
      <c r="S31" s="89"/>
      <c r="T31" s="20"/>
      <c r="U31" s="81">
        <v>0.15999996439709679</v>
      </c>
      <c r="V31" s="24">
        <v>4.805843906189927</v>
      </c>
      <c r="X31" s="45"/>
      <c r="Y31" s="75">
        <f>X26+X36+X45</f>
        <v>1.0343440063084721E-7</v>
      </c>
      <c r="Z31" s="45"/>
      <c r="AA31" s="47" t="s">
        <v>24</v>
      </c>
      <c r="AD31" s="97"/>
      <c r="AE31" s="20"/>
      <c r="AF31" s="89"/>
      <c r="AG31" s="20"/>
      <c r="AH31" s="81">
        <v>6.5359300414164004E-2</v>
      </c>
      <c r="AI31" s="24">
        <v>1</v>
      </c>
      <c r="AK31" s="45"/>
      <c r="AL31" s="75">
        <f>(AK20+AK30+AK40)*100000</f>
        <v>9.6989284285036579E-9</v>
      </c>
      <c r="AM31" s="45"/>
      <c r="AN31" s="47" t="s">
        <v>24</v>
      </c>
      <c r="AQ31" s="105"/>
      <c r="AS31" s="3" t="s">
        <v>39</v>
      </c>
      <c r="AU31" s="60"/>
    </row>
    <row r="32" spans="2:55" ht="15.75" thickBot="1" x14ac:dyDescent="0.3">
      <c r="B32" s="97"/>
      <c r="D32" s="20"/>
      <c r="E32" s="20"/>
      <c r="F32" s="20"/>
      <c r="G32" s="20"/>
      <c r="H32" s="21">
        <v>11</v>
      </c>
      <c r="Q32" s="97"/>
      <c r="R32" s="20"/>
      <c r="S32" s="89"/>
      <c r="T32" s="20"/>
      <c r="U32" s="82">
        <v>0.33666658569294566</v>
      </c>
      <c r="V32" s="21">
        <v>10.572856593617839</v>
      </c>
      <c r="X32" s="45"/>
      <c r="Y32" s="43"/>
      <c r="Z32" s="45"/>
      <c r="AA32" s="77">
        <f>SUM(Z23:Z42)</f>
        <v>6.6622255119904489E-12</v>
      </c>
      <c r="AD32" s="97"/>
      <c r="AE32" s="20"/>
      <c r="AF32" s="89"/>
      <c r="AG32" s="20"/>
      <c r="AH32" s="82">
        <v>0.36307350776982084</v>
      </c>
      <c r="AI32" s="21">
        <v>1</v>
      </c>
      <c r="AK32" s="45"/>
      <c r="AL32" s="43" t="s">
        <v>20</v>
      </c>
      <c r="AM32" s="45"/>
      <c r="AN32" s="77">
        <f>SUM(AM23:AM42)*100000</f>
        <v>1.5296487378637534E-7</v>
      </c>
      <c r="AQ32" s="105"/>
      <c r="AU32" s="60"/>
    </row>
    <row r="33" spans="2:54" ht="15.75" thickBot="1" x14ac:dyDescent="0.3">
      <c r="B33" s="97"/>
      <c r="D33" s="22">
        <v>10</v>
      </c>
      <c r="E33" s="20"/>
      <c r="F33" s="22">
        <v>10</v>
      </c>
      <c r="G33" s="20"/>
      <c r="H33" s="23">
        <v>10</v>
      </c>
      <c r="Q33" s="97"/>
      <c r="R33" s="22">
        <f>D33/$R$9</f>
        <v>10</v>
      </c>
      <c r="S33" s="90">
        <f>S23</f>
        <v>3.0000027638011684E-2</v>
      </c>
      <c r="T33" s="22">
        <f>F33/$T$9</f>
        <v>9.8039215686274517</v>
      </c>
      <c r="U33" s="82">
        <v>0.52666657259910687</v>
      </c>
      <c r="V33" s="23">
        <v>9.6116878123798539</v>
      </c>
      <c r="X33" s="72">
        <f>(SUMPRODUCT(V32:V34,U32:U34)-T33)^2*10000</f>
        <v>8.401836816592405E-9</v>
      </c>
      <c r="Y33" s="50"/>
      <c r="Z33" s="76">
        <f>(SUMPRODUCT(T30:T36,S30:S36)-R33)^2</f>
        <v>1.6804692973738228E-13</v>
      </c>
      <c r="AA33" s="45"/>
      <c r="AD33" s="97"/>
      <c r="AE33" s="22">
        <f>D33/$AE$9</f>
        <v>1</v>
      </c>
      <c r="AF33" s="90">
        <f>AF23</f>
        <v>2.9412529226376879E-2</v>
      </c>
      <c r="AG33" s="22">
        <f>F33/AG9</f>
        <v>1</v>
      </c>
      <c r="AH33" s="82">
        <v>0.51633822601905999</v>
      </c>
      <c r="AI33" s="23">
        <v>1</v>
      </c>
      <c r="AK33" s="72">
        <f>(SUMPRODUCT(AI32:AI34,AH32:AH34)-AG33)^2</f>
        <v>3.7152834002934745E-16</v>
      </c>
      <c r="AL33" s="50">
        <f>(AK23+AK33+AK43)*100000</f>
        <v>1.5396396174748075E-7</v>
      </c>
      <c r="AM33" s="76">
        <f>(SUMPRODUCT(AG30:AG36,AF30:AF36)-AE33)^2</f>
        <v>9.4351289013212459E-14</v>
      </c>
      <c r="AN33" s="45"/>
      <c r="AQ33" s="105"/>
      <c r="AS33" s="61"/>
      <c r="AU33" s="60"/>
    </row>
    <row r="34" spans="2:54" ht="15.75" thickBot="1" x14ac:dyDescent="0.3">
      <c r="B34" s="97"/>
      <c r="D34" s="20"/>
      <c r="E34" s="20"/>
      <c r="F34" s="20"/>
      <c r="G34" s="20"/>
      <c r="H34" s="24">
        <v>9</v>
      </c>
      <c r="Q34" s="97"/>
      <c r="R34" s="20"/>
      <c r="S34" s="89"/>
      <c r="T34" s="20"/>
      <c r="U34" s="82">
        <v>0.13666676419332555</v>
      </c>
      <c r="V34" s="24">
        <v>8.6505190311418687</v>
      </c>
      <c r="X34" s="45"/>
      <c r="Y34" s="38"/>
      <c r="Z34" s="45"/>
      <c r="AA34" s="45"/>
      <c r="AD34" s="97"/>
      <c r="AE34" s="20"/>
      <c r="AF34" s="89"/>
      <c r="AG34" s="20"/>
      <c r="AH34" s="82">
        <v>0.12058828548618961</v>
      </c>
      <c r="AI34" s="24">
        <v>1</v>
      </c>
      <c r="AK34" s="45"/>
      <c r="AL34" s="38" t="s">
        <v>21</v>
      </c>
      <c r="AM34" s="45"/>
      <c r="AN34" s="45"/>
      <c r="AQ34" s="105"/>
      <c r="AU34" s="60"/>
    </row>
    <row r="35" spans="2:54" ht="15.75" thickBot="1" x14ac:dyDescent="0.3">
      <c r="B35" s="97"/>
      <c r="D35" s="20"/>
      <c r="E35" s="20"/>
      <c r="F35" s="20"/>
      <c r="G35" s="20"/>
      <c r="H35" s="21">
        <v>11</v>
      </c>
      <c r="Q35" s="97"/>
      <c r="R35" s="20"/>
      <c r="S35" s="89"/>
      <c r="T35" s="20"/>
      <c r="U35" s="83">
        <v>0.13636338670336451</v>
      </c>
      <c r="V35" s="21">
        <v>10.572856593617839</v>
      </c>
      <c r="X35" s="45"/>
      <c r="Y35" s="38"/>
      <c r="Z35" s="45"/>
      <c r="AA35" s="45"/>
      <c r="AD35" s="97"/>
      <c r="AE35" s="20"/>
      <c r="AF35" s="89"/>
      <c r="AG35" s="20"/>
      <c r="AH35" s="83">
        <v>0.18381578812823185</v>
      </c>
      <c r="AI35" s="21">
        <v>1</v>
      </c>
      <c r="AK35" s="45"/>
      <c r="AL35" s="38">
        <f>(AK26+AK36+AK46)*100000</f>
        <v>3.3137225200903281E-8</v>
      </c>
      <c r="AM35" s="45"/>
      <c r="AN35" s="45"/>
      <c r="AQ35" s="105"/>
      <c r="AU35" s="60"/>
    </row>
    <row r="36" spans="2:54" ht="15.75" thickBot="1" x14ac:dyDescent="0.3">
      <c r="B36" s="97"/>
      <c r="D36" s="20"/>
      <c r="E36" s="20"/>
      <c r="F36" s="22">
        <v>8</v>
      </c>
      <c r="G36" s="20"/>
      <c r="H36" s="23">
        <v>8</v>
      </c>
      <c r="Q36" s="97"/>
      <c r="R36" s="20"/>
      <c r="S36" s="90">
        <f>S26</f>
        <v>0.43499981411694777</v>
      </c>
      <c r="T36" s="22">
        <f>F36/$T$12</f>
        <v>7.8431372549019605</v>
      </c>
      <c r="U36" s="83">
        <v>0.61454506329400449</v>
      </c>
      <c r="V36" s="23">
        <v>7.6893502499038835</v>
      </c>
      <c r="X36" s="74">
        <f>(SUMPRODUCT(V35:V37,U35:U37)-T36)^2*10000</f>
        <v>9.2500150186106747E-8</v>
      </c>
      <c r="Y36" s="38"/>
      <c r="Z36" s="45"/>
      <c r="AA36" s="45"/>
      <c r="AD36" s="97"/>
      <c r="AE36" s="20"/>
      <c r="AF36" s="90">
        <f>AF26</f>
        <v>0.34117556542103333</v>
      </c>
      <c r="AG36" s="22">
        <f>F36/AG12</f>
        <v>1</v>
      </c>
      <c r="AH36" s="83">
        <v>0.60250794870802105</v>
      </c>
      <c r="AI36" s="23">
        <v>1</v>
      </c>
      <c r="AK36" s="74">
        <f>(SUMPRODUCT(AI35:AI37,AH35:AH37)-AG36)^2</f>
        <v>2.8642668973048866E-13</v>
      </c>
      <c r="AL36" s="38"/>
      <c r="AM36" s="45"/>
      <c r="AN36" s="45"/>
      <c r="AQ36" s="105"/>
      <c r="AS36" s="61"/>
      <c r="AU36" s="60"/>
    </row>
    <row r="37" spans="2:54" ht="15.75" thickBot="1" x14ac:dyDescent="0.3">
      <c r="B37" s="98"/>
      <c r="D37" s="20"/>
      <c r="E37" s="20"/>
      <c r="F37" s="20"/>
      <c r="G37" s="20"/>
      <c r="H37" s="24">
        <v>7</v>
      </c>
      <c r="Q37" s="98"/>
      <c r="R37" s="20"/>
      <c r="S37" s="89"/>
      <c r="T37" s="20"/>
      <c r="U37" s="83">
        <v>0.2490912965221882</v>
      </c>
      <c r="V37" s="24">
        <v>6.7281814686658974</v>
      </c>
      <c r="X37" s="45"/>
      <c r="Y37" s="38"/>
      <c r="Z37" s="45"/>
      <c r="AA37" s="45"/>
      <c r="AD37" s="98"/>
      <c r="AE37" s="20"/>
      <c r="AF37" s="89"/>
      <c r="AG37" s="20"/>
      <c r="AH37" s="83">
        <v>0.2136757279752852</v>
      </c>
      <c r="AI37" s="24">
        <v>1</v>
      </c>
      <c r="AK37" s="45"/>
      <c r="AL37" s="38"/>
      <c r="AM37" s="45"/>
      <c r="AN37" s="45"/>
      <c r="AQ37" s="105"/>
      <c r="AU37" s="60"/>
    </row>
    <row r="38" spans="2:54" ht="15.75" thickBot="1" x14ac:dyDescent="0.3">
      <c r="S38" s="66"/>
      <c r="U38" s="66"/>
      <c r="X38" s="45"/>
      <c r="Y38" s="38"/>
      <c r="Z38" s="45"/>
      <c r="AA38" s="45"/>
      <c r="AF38" s="66"/>
      <c r="AH38" s="66"/>
      <c r="AK38" s="45"/>
      <c r="AL38" s="38"/>
      <c r="AM38" s="45"/>
      <c r="AN38" s="45"/>
    </row>
    <row r="39" spans="2:54" ht="15.75" thickBot="1" x14ac:dyDescent="0.3">
      <c r="B39" s="96" t="s">
        <v>3</v>
      </c>
      <c r="D39" s="25"/>
      <c r="E39" s="25"/>
      <c r="F39" s="25"/>
      <c r="G39" s="25"/>
      <c r="H39" s="26">
        <v>5</v>
      </c>
      <c r="Q39" s="96" t="s">
        <v>14</v>
      </c>
      <c r="R39" s="25"/>
      <c r="S39" s="91"/>
      <c r="T39" s="25"/>
      <c r="U39" s="84">
        <f t="array" ref="U39:U47">U19:U27</f>
        <v>0.67999999426610069</v>
      </c>
      <c r="V39" s="26">
        <f t="array" ref="V39:V47">H39:H47/$V$5:$V$13</f>
        <v>4.805843906189927</v>
      </c>
      <c r="X39" s="70">
        <f>(SUMPRODUCT(V39:V41,U39:U41)-T40)^2*10000</f>
        <v>5.6055968274169296E-11</v>
      </c>
      <c r="Y39" s="38"/>
      <c r="Z39" s="45"/>
      <c r="AA39" s="45"/>
      <c r="AD39" s="96" t="s">
        <v>36</v>
      </c>
      <c r="AE39" s="25"/>
      <c r="AF39" s="91"/>
      <c r="AG39" s="25"/>
      <c r="AH39" s="84">
        <f t="array" ref="AH39:AH47">AH19:AH27</f>
        <v>0.77777782859387001</v>
      </c>
      <c r="AI39" s="26">
        <f t="array" ref="AI39:AI47">H39:H47/$AI$5:$AI$13</f>
        <v>0.35714285714285715</v>
      </c>
      <c r="AK39" s="70"/>
      <c r="AL39" s="38"/>
      <c r="AM39" s="45"/>
      <c r="AN39" s="45"/>
      <c r="AQ39" s="96" t="s">
        <v>40</v>
      </c>
      <c r="AR39" s="4"/>
      <c r="AS39" s="4"/>
      <c r="AT39" s="4"/>
      <c r="AU39" s="4"/>
      <c r="AV39" s="5">
        <f t="shared" ref="AV39:AV47" si="2">BC5/AV5</f>
        <v>13.456362937331795</v>
      </c>
    </row>
    <row r="40" spans="2:54" ht="15.75" thickBot="1" x14ac:dyDescent="0.3">
      <c r="B40" s="97"/>
      <c r="D40" s="25"/>
      <c r="E40" s="25"/>
      <c r="F40" s="27">
        <v>6</v>
      </c>
      <c r="G40" s="25"/>
      <c r="H40" s="28">
        <v>7</v>
      </c>
      <c r="Q40" s="97"/>
      <c r="R40" s="25"/>
      <c r="S40" s="92">
        <f>S20</f>
        <v>0.53500013573485683</v>
      </c>
      <c r="T40" s="27">
        <f>F40/$T$6</f>
        <v>5.8823529411764701</v>
      </c>
      <c r="U40" s="84">
        <v>0.16000004382903221</v>
      </c>
      <c r="V40" s="28">
        <v>6.7281814686658974</v>
      </c>
      <c r="X40" s="45"/>
      <c r="Y40" s="38"/>
      <c r="Z40" s="45"/>
      <c r="AA40" s="45"/>
      <c r="AD40" s="97"/>
      <c r="AE40" s="25"/>
      <c r="AF40" s="92">
        <f>AF20</f>
        <v>0.62941221251913915</v>
      </c>
      <c r="AG40" s="27">
        <f>F40/AG6</f>
        <v>0.5</v>
      </c>
      <c r="AH40" s="84">
        <v>0.1568628016157034</v>
      </c>
      <c r="AI40" s="28">
        <v>0.58333333333333337</v>
      </c>
      <c r="AK40" s="45">
        <f>(SUMPRODUCT(AI39:AI41,AH39:AH41)-AG40)^2</f>
        <v>9.1386980614586994E-14</v>
      </c>
      <c r="AL40" s="38"/>
      <c r="AM40" s="45"/>
      <c r="AN40" s="45"/>
      <c r="AQ40" s="97"/>
      <c r="AR40" s="4"/>
      <c r="AS40" s="4"/>
      <c r="AT40" s="6">
        <f>BA6/AT6</f>
        <v>11.76470588235294</v>
      </c>
      <c r="AU40" s="4"/>
      <c r="AV40" s="7">
        <f t="shared" si="2"/>
        <v>11.534025374855824</v>
      </c>
    </row>
    <row r="41" spans="2:54" ht="15.75" thickBot="1" x14ac:dyDescent="0.3">
      <c r="B41" s="97"/>
      <c r="D41" s="25"/>
      <c r="E41" s="25"/>
      <c r="F41" s="25"/>
      <c r="G41" s="25"/>
      <c r="H41" s="29">
        <v>10</v>
      </c>
      <c r="Q41" s="97"/>
      <c r="R41" s="25"/>
      <c r="S41" s="91"/>
      <c r="T41" s="25"/>
      <c r="U41" s="84">
        <v>0.15999996439709679</v>
      </c>
      <c r="V41" s="29">
        <v>9.6116878123798539</v>
      </c>
      <c r="X41" s="45"/>
      <c r="Y41" s="38"/>
      <c r="Z41" s="45"/>
      <c r="AA41" s="45"/>
      <c r="AD41" s="97"/>
      <c r="AE41" s="25"/>
      <c r="AF41" s="91"/>
      <c r="AG41" s="25"/>
      <c r="AH41" s="84">
        <v>6.5359300414164004E-2</v>
      </c>
      <c r="AI41" s="29">
        <v>2</v>
      </c>
      <c r="AK41" s="45"/>
      <c r="AL41" s="38"/>
      <c r="AM41" s="45"/>
      <c r="AN41" s="45"/>
      <c r="AQ41" s="97"/>
      <c r="AR41" s="4"/>
      <c r="AS41" s="4"/>
      <c r="AT41" s="4"/>
      <c r="AU41" s="4"/>
      <c r="AV41" s="8">
        <f t="shared" si="2"/>
        <v>4.805843906189927</v>
      </c>
    </row>
    <row r="42" spans="2:54" ht="15.75" thickBot="1" x14ac:dyDescent="0.3">
      <c r="B42" s="97"/>
      <c r="D42" s="25"/>
      <c r="E42" s="25"/>
      <c r="F42" s="25"/>
      <c r="G42" s="25"/>
      <c r="H42" s="26">
        <v>4</v>
      </c>
      <c r="Q42" s="97"/>
      <c r="R42" s="25"/>
      <c r="S42" s="91"/>
      <c r="T42" s="25"/>
      <c r="U42" s="85">
        <v>0.33666658569294566</v>
      </c>
      <c r="V42" s="26">
        <v>3.8446751249519417</v>
      </c>
      <c r="X42" s="72">
        <f>(SUMPRODUCT(V42:V44,U42:U44)-T43)^2*10000</f>
        <v>1.0835431862460007E-8</v>
      </c>
      <c r="Y42" s="38"/>
      <c r="Z42" s="76">
        <f>(SUMPRODUCT(T40:T46,S40:S46)-R43)^2</f>
        <v>6.4936718738820929E-12</v>
      </c>
      <c r="AA42" s="45"/>
      <c r="AD42" s="97"/>
      <c r="AE42" s="25"/>
      <c r="AF42" s="91"/>
      <c r="AG42" s="25"/>
      <c r="AH42" s="85">
        <v>0.36307350776982084</v>
      </c>
      <c r="AI42" s="26">
        <v>0.36363636363636365</v>
      </c>
      <c r="AK42" s="72"/>
      <c r="AL42" s="38"/>
      <c r="AM42" s="76">
        <f>(SUMPRODUCT(AG40:AG46,AF40:AF46)-AE43)^2</f>
        <v>1.4352970438468323E-12</v>
      </c>
      <c r="AN42" s="45"/>
      <c r="AQ42" s="97"/>
      <c r="AR42" s="4"/>
      <c r="AS42" s="4"/>
      <c r="AT42" s="4"/>
      <c r="AU42" s="4"/>
      <c r="AV42" s="5">
        <f t="shared" si="2"/>
        <v>10.572856593617839</v>
      </c>
    </row>
    <row r="43" spans="2:54" ht="15.75" thickBot="1" x14ac:dyDescent="0.3">
      <c r="B43" s="97"/>
      <c r="D43" s="27">
        <v>12</v>
      </c>
      <c r="E43" s="25"/>
      <c r="F43" s="27">
        <v>11</v>
      </c>
      <c r="G43" s="25"/>
      <c r="H43" s="28">
        <v>12</v>
      </c>
      <c r="Q43" s="97"/>
      <c r="R43" s="27">
        <f>D43/$R$9</f>
        <v>12</v>
      </c>
      <c r="S43" s="92">
        <f>S23</f>
        <v>3.0000027638011684E-2</v>
      </c>
      <c r="T43" s="27">
        <f>F43/$T$9</f>
        <v>10.784313725490195</v>
      </c>
      <c r="U43" s="85">
        <v>0.52666657259910687</v>
      </c>
      <c r="V43" s="28">
        <v>11.534025374855824</v>
      </c>
      <c r="X43" s="45"/>
      <c r="Y43" s="38"/>
      <c r="Z43" s="45"/>
      <c r="AA43" s="45"/>
      <c r="AD43" s="97"/>
      <c r="AE43" s="27">
        <f>D43/$AE$9</f>
        <v>1.2</v>
      </c>
      <c r="AF43" s="92">
        <f>AF23</f>
        <v>2.9412529226376879E-2</v>
      </c>
      <c r="AG43" s="27">
        <f>F43/AG9</f>
        <v>1.1000000000000001</v>
      </c>
      <c r="AH43" s="85">
        <v>0.51633822601905999</v>
      </c>
      <c r="AI43" s="28">
        <v>1.2</v>
      </c>
      <c r="AK43" s="45">
        <f>(SUMPRODUCT(AI42:AI44,AH42:AH44)-AG43)^2</f>
        <v>1.5391077058217553E-12</v>
      </c>
      <c r="AL43" s="38"/>
      <c r="AM43" s="45"/>
      <c r="AN43" s="45"/>
      <c r="AQ43" s="97"/>
      <c r="AR43" s="6"/>
      <c r="AS43" s="4"/>
      <c r="AT43" s="6">
        <f>BA9/AT9</f>
        <v>9.8039215686274517</v>
      </c>
      <c r="AU43" s="4"/>
      <c r="AV43" s="7">
        <f t="shared" si="2"/>
        <v>9.6116878123798539</v>
      </c>
    </row>
    <row r="44" spans="2:54" ht="15.75" thickBot="1" x14ac:dyDescent="0.3">
      <c r="B44" s="97"/>
      <c r="D44" s="25"/>
      <c r="E44" s="25"/>
      <c r="F44" s="25"/>
      <c r="G44" s="25"/>
      <c r="H44" s="29">
        <v>26</v>
      </c>
      <c r="Q44" s="97"/>
      <c r="R44" s="25"/>
      <c r="S44" s="91"/>
      <c r="T44" s="25"/>
      <c r="U44" s="85">
        <v>0.13666676419332555</v>
      </c>
      <c r="V44" s="29">
        <v>24.990388312187619</v>
      </c>
      <c r="X44" s="45"/>
      <c r="Y44" s="38"/>
      <c r="Z44" s="45"/>
      <c r="AA44" s="45"/>
      <c r="AD44" s="97"/>
      <c r="AE44" s="25"/>
      <c r="AF44" s="91"/>
      <c r="AG44" s="25"/>
      <c r="AH44" s="85">
        <v>0.12058828548618961</v>
      </c>
      <c r="AI44" s="29">
        <v>2.8888888888888888</v>
      </c>
      <c r="AK44" s="45"/>
      <c r="AL44" s="38"/>
      <c r="AM44" s="45"/>
      <c r="AN44" s="45"/>
      <c r="AQ44" s="97"/>
      <c r="AR44" s="4"/>
      <c r="AS44" s="4"/>
      <c r="AT44" s="4"/>
      <c r="AU44" s="4"/>
      <c r="AV44" s="8">
        <f t="shared" si="2"/>
        <v>8.6505190311418687</v>
      </c>
    </row>
    <row r="45" spans="2:54" ht="15.75" thickBot="1" x14ac:dyDescent="0.3">
      <c r="B45" s="97"/>
      <c r="D45" s="25"/>
      <c r="E45" s="25"/>
      <c r="F45" s="25"/>
      <c r="G45" s="25"/>
      <c r="H45" s="26">
        <v>11</v>
      </c>
      <c r="Q45" s="97"/>
      <c r="R45" s="25"/>
      <c r="S45" s="91"/>
      <c r="T45" s="25"/>
      <c r="U45" s="86">
        <v>0.13636338670336451</v>
      </c>
      <c r="V45" s="26">
        <v>10.572856593617839</v>
      </c>
      <c r="X45" s="74">
        <f>(SUMPRODUCT(V45:V47,U45:U47)-T46)^2*10000</f>
        <v>1.0291727096189549E-8</v>
      </c>
      <c r="Y45" s="38"/>
      <c r="Z45" s="45"/>
      <c r="AA45" s="45"/>
      <c r="AD45" s="97"/>
      <c r="AE45" s="25"/>
      <c r="AF45" s="91"/>
      <c r="AG45" s="25"/>
      <c r="AH45" s="86">
        <v>0.18381578812823185</v>
      </c>
      <c r="AI45" s="26">
        <v>1</v>
      </c>
      <c r="AK45" s="74"/>
      <c r="AL45" s="38"/>
      <c r="AM45" s="45"/>
      <c r="AN45" s="45"/>
      <c r="AQ45" s="97"/>
      <c r="AR45" s="4"/>
      <c r="AS45" s="4"/>
      <c r="AT45" s="4"/>
      <c r="AU45" s="4"/>
      <c r="AV45" s="5">
        <f t="shared" si="2"/>
        <v>10.572856593617839</v>
      </c>
    </row>
    <row r="46" spans="2:54" ht="15.75" thickBot="1" x14ac:dyDescent="0.3">
      <c r="B46" s="97"/>
      <c r="D46" s="25"/>
      <c r="E46" s="25"/>
      <c r="F46" s="27">
        <v>20</v>
      </c>
      <c r="G46" s="25"/>
      <c r="H46" s="28">
        <v>19</v>
      </c>
      <c r="Q46" s="97"/>
      <c r="R46" s="25"/>
      <c r="S46" s="92">
        <f>S26</f>
        <v>0.43499981411694777</v>
      </c>
      <c r="T46" s="27">
        <f>F46/$T$12</f>
        <v>19.607843137254903</v>
      </c>
      <c r="U46" s="86">
        <v>0.61454506329400449</v>
      </c>
      <c r="V46" s="28">
        <v>18.262206843521721</v>
      </c>
      <c r="X46" s="45"/>
      <c r="Y46" s="38"/>
      <c r="Z46" s="45"/>
      <c r="AA46" s="45"/>
      <c r="AD46" s="97"/>
      <c r="AE46" s="25"/>
      <c r="AF46" s="92">
        <f>AF26</f>
        <v>0.34117556542103333</v>
      </c>
      <c r="AG46" s="27">
        <f>F46/AG12</f>
        <v>2.5</v>
      </c>
      <c r="AH46" s="86">
        <v>0.60250794870802105</v>
      </c>
      <c r="AI46" s="28">
        <v>2.375</v>
      </c>
      <c r="AK46" s="45">
        <f>(SUMPRODUCT(AI45:AI47,AH45:AH47)-AG46)^2</f>
        <v>3.3199533641558173E-14</v>
      </c>
      <c r="AL46" s="38"/>
      <c r="AM46" s="45"/>
      <c r="AN46" s="45"/>
      <c r="AQ46" s="97"/>
      <c r="AR46" s="4"/>
      <c r="AS46" s="4"/>
      <c r="AT46" s="6">
        <f>BA12/AT12</f>
        <v>7.8431372549019605</v>
      </c>
      <c r="AU46" s="4"/>
      <c r="AV46" s="7">
        <f t="shared" si="2"/>
        <v>7.6893502499038835</v>
      </c>
    </row>
    <row r="47" spans="2:54" ht="15.75" thickBot="1" x14ac:dyDescent="0.3">
      <c r="B47" s="98"/>
      <c r="D47" s="25"/>
      <c r="E47" s="25"/>
      <c r="F47" s="25"/>
      <c r="G47" s="25"/>
      <c r="H47" s="29">
        <v>29</v>
      </c>
      <c r="Q47" s="98"/>
      <c r="R47" s="25"/>
      <c r="S47" s="25"/>
      <c r="T47" s="25"/>
      <c r="U47" s="86">
        <v>0.2490912965221882</v>
      </c>
      <c r="V47" s="29">
        <v>27.873894655901577</v>
      </c>
      <c r="X47" s="46"/>
      <c r="Y47" s="42"/>
      <c r="Z47" s="46"/>
      <c r="AA47" s="46"/>
      <c r="AD47" s="98"/>
      <c r="AE47" s="25"/>
      <c r="AF47" s="25"/>
      <c r="AG47" s="25"/>
      <c r="AH47" s="86">
        <v>0.2136757279752852</v>
      </c>
      <c r="AI47" s="29">
        <v>4.1428571428571432</v>
      </c>
      <c r="AK47" s="46"/>
      <c r="AL47" s="42"/>
      <c r="AM47" s="46"/>
      <c r="AN47" s="46"/>
      <c r="AQ47" s="98"/>
      <c r="AR47" s="4"/>
      <c r="AS47" s="4"/>
      <c r="AT47" s="4"/>
      <c r="AU47" s="4"/>
      <c r="AV47" s="8">
        <f t="shared" si="2"/>
        <v>6.7281814686658974</v>
      </c>
      <c r="BB47" s="59"/>
    </row>
    <row r="48" spans="2:54" x14ac:dyDescent="0.25">
      <c r="BB48" s="59"/>
    </row>
    <row r="49" spans="2:54" x14ac:dyDescent="0.25">
      <c r="R49" s="3" t="s">
        <v>30</v>
      </c>
      <c r="AE49" s="3" t="s">
        <v>30</v>
      </c>
      <c r="AR49" s="3" t="s">
        <v>41</v>
      </c>
      <c r="AS49" s="1">
        <f>AR9/AY9</f>
        <v>0.1</v>
      </c>
      <c r="BB49" s="59"/>
    </row>
    <row r="50" spans="2:54" x14ac:dyDescent="0.25">
      <c r="B50" s="3" t="s">
        <v>66</v>
      </c>
      <c r="J50" s="3" t="s">
        <v>23</v>
      </c>
      <c r="R50" s="3" t="s">
        <v>31</v>
      </c>
      <c r="AE50" s="3" t="s">
        <v>31</v>
      </c>
      <c r="AR50" s="3"/>
      <c r="BB50" s="59"/>
    </row>
    <row r="51" spans="2:54" ht="15.75" thickBot="1" x14ac:dyDescent="0.3">
      <c r="K51" s="66" t="s">
        <v>25</v>
      </c>
      <c r="L51" s="66" t="s">
        <v>26</v>
      </c>
      <c r="M51" s="66" t="s">
        <v>27</v>
      </c>
      <c r="N51" s="66" t="s">
        <v>29</v>
      </c>
      <c r="BB51" s="59"/>
    </row>
    <row r="52" spans="2:54" ht="15.75" thickBot="1" x14ac:dyDescent="0.3">
      <c r="B52" s="96" t="s">
        <v>4</v>
      </c>
      <c r="D52" s="30"/>
      <c r="E52" s="30"/>
      <c r="F52" s="30"/>
      <c r="G52" s="30"/>
      <c r="H52" s="31">
        <v>1</v>
      </c>
      <c r="J52" s="32" t="s">
        <v>9</v>
      </c>
      <c r="K52" s="33">
        <v>10.212433059321762</v>
      </c>
      <c r="L52" s="54">
        <f>($K$52*H19+$K$53*H29+$K$54*H39)</f>
        <v>0.99999875041799324</v>
      </c>
      <c r="M52" s="33">
        <f t="shared" ref="M52:M60" si="3">(L52-H52)^2</f>
        <v>1.5614551916110167E-12</v>
      </c>
      <c r="N52" s="34"/>
      <c r="Q52" s="96" t="s">
        <v>13</v>
      </c>
      <c r="R52" s="30"/>
      <c r="S52" s="30"/>
      <c r="T52" s="30"/>
      <c r="U52" s="95">
        <f t="array" ref="U52:U60">U19:U27</f>
        <v>0.67999999426610069</v>
      </c>
      <c r="V52" s="31">
        <f t="array" ref="V52:V60">V63:V71/$V$5:$V$13</f>
        <v>0.96116878123798544</v>
      </c>
      <c r="AD52" s="96" t="s">
        <v>37</v>
      </c>
      <c r="AE52" s="30"/>
      <c r="AF52" s="94"/>
      <c r="AG52" s="30"/>
      <c r="AH52" s="95">
        <f t="array" ref="AH52:AH60">AH19:AH27</f>
        <v>0.77777782859387001</v>
      </c>
      <c r="AI52" s="31">
        <f t="array" ref="AI52:AI60">AI63:AI71/$AI$5:$AI$13</f>
        <v>7.1428571428571425E-2</v>
      </c>
      <c r="AQ52" s="64"/>
      <c r="AR52" s="3" t="s">
        <v>65</v>
      </c>
      <c r="AU52" s="62"/>
      <c r="BB52" s="59"/>
    </row>
    <row r="53" spans="2:54" ht="15.75" thickBot="1" x14ac:dyDescent="0.3">
      <c r="B53" s="97"/>
      <c r="D53" s="30"/>
      <c r="E53" s="30"/>
      <c r="F53" s="58">
        <f>K52*F20+K53*F30+K54*F40</f>
        <v>0.66666698155280368</v>
      </c>
      <c r="G53" s="30"/>
      <c r="H53" s="36">
        <v>0</v>
      </c>
      <c r="I53" s="13" t="s">
        <v>5</v>
      </c>
      <c r="J53" s="37" t="s">
        <v>10</v>
      </c>
      <c r="K53" s="1">
        <v>-0.37500108050938491</v>
      </c>
      <c r="L53" s="55">
        <f>($K$52*H20+$K$53*H30+$K$54*H40)</f>
        <v>3.2048917120164333E-7</v>
      </c>
      <c r="M53" s="1">
        <f t="shared" si="3"/>
        <v>1.0271330885751625E-13</v>
      </c>
      <c r="N53" s="38">
        <f>SUM(M52:M54)*100000</f>
        <v>5.0631042780476705E-6</v>
      </c>
      <c r="Q53" s="97"/>
      <c r="R53" s="30"/>
      <c r="S53" s="93">
        <f>S20</f>
        <v>0.53500013573485683</v>
      </c>
      <c r="T53" s="35">
        <f>SUMPRODUCT(V52:V54,U52:U54)</f>
        <v>0.65359476573058506</v>
      </c>
      <c r="U53" s="95">
        <v>0.16000004382903221</v>
      </c>
      <c r="V53" s="36">
        <v>0</v>
      </c>
      <c r="AD53" s="97"/>
      <c r="AE53" s="30"/>
      <c r="AF53" s="93">
        <f>AF20</f>
        <v>0.62941221251913915</v>
      </c>
      <c r="AG53" s="35">
        <f>SUMPRODUCT(AI52:AI54,AH52:AH54)</f>
        <v>5.5555559185276424E-2</v>
      </c>
      <c r="AH53" s="95">
        <v>0.1568628016157034</v>
      </c>
      <c r="AI53" s="36">
        <v>0</v>
      </c>
      <c r="AQ53" s="64"/>
      <c r="AU53" s="62"/>
      <c r="BB53" s="59"/>
    </row>
    <row r="54" spans="2:54" ht="15.75" thickBot="1" x14ac:dyDescent="0.3">
      <c r="B54" s="97"/>
      <c r="D54" s="30"/>
      <c r="E54" s="30"/>
      <c r="F54" s="30"/>
      <c r="G54" s="30"/>
      <c r="H54" s="39">
        <v>0</v>
      </c>
      <c r="I54" s="13"/>
      <c r="J54" s="40" t="s">
        <v>11</v>
      </c>
      <c r="K54" s="41">
        <v>-0.87500029547379576</v>
      </c>
      <c r="L54" s="56">
        <f>($K$52*H21+$K$53*H31+$K$54*H41)</f>
        <v>6.9976334771126858E-6</v>
      </c>
      <c r="M54" s="41">
        <f t="shared" si="3"/>
        <v>4.8966874280008177E-11</v>
      </c>
      <c r="N54" s="42"/>
      <c r="Q54" s="97"/>
      <c r="R54" s="30"/>
      <c r="S54" s="94"/>
      <c r="T54" s="30"/>
      <c r="U54" s="95">
        <v>0.15999996439709679</v>
      </c>
      <c r="V54" s="39">
        <v>0</v>
      </c>
      <c r="AD54" s="97"/>
      <c r="AE54" s="30"/>
      <c r="AF54" s="94"/>
      <c r="AG54" s="30"/>
      <c r="AH54" s="95">
        <v>6.5359300414164004E-2</v>
      </c>
      <c r="AI54" s="39">
        <v>0</v>
      </c>
      <c r="AQ54" s="64"/>
      <c r="AS54" s="57">
        <f>AS20*AT40*$AS$49</f>
        <v>0.62941192439394922</v>
      </c>
      <c r="AT54" s="65" t="s">
        <v>43</v>
      </c>
      <c r="AU54" s="62"/>
      <c r="BB54" s="59"/>
    </row>
    <row r="55" spans="2:54" ht="15.75" thickBot="1" x14ac:dyDescent="0.3">
      <c r="B55" s="97"/>
      <c r="D55" s="30"/>
      <c r="E55" s="30"/>
      <c r="F55" s="30"/>
      <c r="G55" s="30"/>
      <c r="H55" s="31">
        <v>1</v>
      </c>
      <c r="I55" s="13"/>
      <c r="J55" s="32" t="s">
        <v>9</v>
      </c>
      <c r="K55" s="33">
        <v>-24.349571775946924</v>
      </c>
      <c r="L55" s="54">
        <f>($K$55*H22+$K$56*H32+$K$57*H42)</f>
        <v>0.99996837713387132</v>
      </c>
      <c r="M55" s="33">
        <f t="shared" si="3"/>
        <v>1.0000056621922719E-9</v>
      </c>
      <c r="N55" s="34"/>
      <c r="Q55" s="97"/>
      <c r="R55" s="30"/>
      <c r="S55" s="94"/>
      <c r="T55" s="30"/>
      <c r="U55" s="95">
        <v>0.33666658569294566</v>
      </c>
      <c r="V55" s="31">
        <v>0.96116878123798544</v>
      </c>
      <c r="AD55" s="97"/>
      <c r="AE55" s="30"/>
      <c r="AF55" s="94"/>
      <c r="AG55" s="30"/>
      <c r="AH55" s="95">
        <v>0.36307350776982084</v>
      </c>
      <c r="AI55" s="31">
        <v>9.0909090909090912E-2</v>
      </c>
      <c r="AQ55" s="64"/>
      <c r="AT55" s="66"/>
      <c r="AU55" s="62"/>
      <c r="BB55" s="59"/>
    </row>
    <row r="56" spans="2:54" ht="15.75" thickBot="1" x14ac:dyDescent="0.3">
      <c r="B56" s="97"/>
      <c r="D56" s="35">
        <f>F64*D23+F65*D33+F66*D43</f>
        <v>0.41639714070199019</v>
      </c>
      <c r="E56" s="30"/>
      <c r="F56" s="35">
        <f>K55*F23+K56*F33+K57*F43</f>
        <v>0.33004852760888514</v>
      </c>
      <c r="G56" s="30"/>
      <c r="H56" s="36">
        <v>0</v>
      </c>
      <c r="I56" s="13" t="s">
        <v>6</v>
      </c>
      <c r="J56" s="37" t="s">
        <v>10</v>
      </c>
      <c r="K56" s="1">
        <v>2.3333264743805007</v>
      </c>
      <c r="L56" s="55">
        <f>($K$55*H23+$K$56*H33+$K$57*H43)</f>
        <v>-1.482795954732552E-5</v>
      </c>
      <c r="M56" s="1">
        <f t="shared" si="3"/>
        <v>2.1986838433712204E-10</v>
      </c>
      <c r="N56" s="38">
        <f>SUM(M55:M57)*100000</f>
        <v>1.308589956329091E-4</v>
      </c>
      <c r="Q56" s="97"/>
      <c r="R56" s="35">
        <f>SUMPRODUCT(T53:T59,S53:S59)</f>
        <v>0.41639575545556529</v>
      </c>
      <c r="S56" s="93">
        <f>S23</f>
        <v>3.0000027638011684E-2</v>
      </c>
      <c r="T56" s="35">
        <f>SUMPRODUCT(V55:V57,U55:U57)</f>
        <v>0.32359341185404239</v>
      </c>
      <c r="U56" s="95">
        <v>0.52666657259910687</v>
      </c>
      <c r="V56" s="36">
        <v>0</v>
      </c>
      <c r="AD56" s="97"/>
      <c r="AE56" s="35">
        <f>SUMPRODUCT(AG53:AG59,AF20:AF26)</f>
        <v>4.1639380661503307E-2</v>
      </c>
      <c r="AF56" s="93">
        <f>AF23</f>
        <v>2.9412529226376879E-2</v>
      </c>
      <c r="AG56" s="35">
        <f>SUMPRODUCT(AI55:AI57,AH55:AH57)</f>
        <v>3.3006682524529166E-2</v>
      </c>
      <c r="AH56" s="95">
        <v>0.51633822601905999</v>
      </c>
      <c r="AI56" s="36">
        <v>0</v>
      </c>
      <c r="AQ56" s="64"/>
      <c r="AT56" s="66"/>
      <c r="AU56" s="62"/>
    </row>
    <row r="57" spans="2:54" ht="15.75" thickBot="1" x14ac:dyDescent="0.3">
      <c r="B57" s="97"/>
      <c r="D57" s="30"/>
      <c r="E57" s="30"/>
      <c r="F57" s="30"/>
      <c r="G57" s="30"/>
      <c r="H57" s="39">
        <v>0</v>
      </c>
      <c r="I57" s="13"/>
      <c r="J57" s="40" t="s">
        <v>11</v>
      </c>
      <c r="K57" s="41">
        <v>0.16666790866088546</v>
      </c>
      <c r="L57" s="56">
        <f>($K$55*H24+$K$56*H34+$K$57*H44)</f>
        <v>9.4189123469590186E-6</v>
      </c>
      <c r="M57" s="41">
        <f t="shared" si="3"/>
        <v>8.8715909799697048E-11</v>
      </c>
      <c r="N57" s="42"/>
      <c r="Q57" s="97"/>
      <c r="R57" s="30"/>
      <c r="S57" s="94"/>
      <c r="T57" s="30"/>
      <c r="U57" s="95">
        <v>0.13666676419332555</v>
      </c>
      <c r="V57" s="39">
        <v>0</v>
      </c>
      <c r="AD57" s="97"/>
      <c r="AE57" s="30"/>
      <c r="AF57" s="94"/>
      <c r="AG57" s="30"/>
      <c r="AH57" s="95">
        <v>0.12058828548618961</v>
      </c>
      <c r="AI57" s="39">
        <v>0</v>
      </c>
      <c r="AQ57" s="64"/>
      <c r="AS57" s="57">
        <f>AS23*AT43*$AS$49</f>
        <v>2.9411791801972245E-2</v>
      </c>
      <c r="AT57" s="65" t="s">
        <v>44</v>
      </c>
      <c r="AU57" s="62"/>
    </row>
    <row r="58" spans="2:54" ht="15.75" thickBot="1" x14ac:dyDescent="0.3">
      <c r="B58" s="97"/>
      <c r="D58" s="30"/>
      <c r="E58" s="30"/>
      <c r="F58" s="30"/>
      <c r="G58" s="30"/>
      <c r="H58" s="31">
        <v>1</v>
      </c>
      <c r="I58" s="13"/>
      <c r="J58" s="32" t="s">
        <v>9</v>
      </c>
      <c r="K58" s="33">
        <v>-4.3252515854271403</v>
      </c>
      <c r="L58" s="54">
        <f>($K$58*H25+$K$59*H35+$K$60*H45)</f>
        <v>0.9999910307854617</v>
      </c>
      <c r="M58" s="33">
        <f t="shared" si="3"/>
        <v>8.0446809434076317E-11</v>
      </c>
      <c r="N58" s="34"/>
      <c r="Q58" s="97"/>
      <c r="R58" s="30"/>
      <c r="S58" s="94"/>
      <c r="T58" s="30"/>
      <c r="U58" s="95">
        <v>0.13636338670336451</v>
      </c>
      <c r="V58" s="31">
        <v>0.96116878123798544</v>
      </c>
      <c r="AD58" s="97"/>
      <c r="AE58" s="30"/>
      <c r="AF58" s="94"/>
      <c r="AG58" s="30"/>
      <c r="AH58" s="95">
        <v>0.18381578812823185</v>
      </c>
      <c r="AI58" s="31">
        <v>9.0909090909090912E-2</v>
      </c>
      <c r="AQ58" s="64"/>
      <c r="AT58" s="66"/>
      <c r="AU58" s="62"/>
    </row>
    <row r="59" spans="2:54" ht="15.75" thickBot="1" x14ac:dyDescent="0.3">
      <c r="B59" s="97"/>
      <c r="D59" s="30"/>
      <c r="E59" s="30"/>
      <c r="F59" s="35">
        <f>K58*F26+K59*F36+K60*F46</f>
        <v>0.13368793276683955</v>
      </c>
      <c r="G59" s="30"/>
      <c r="H59" s="36">
        <v>0</v>
      </c>
      <c r="I59" s="13" t="s">
        <v>7</v>
      </c>
      <c r="J59" s="37" t="s">
        <v>10</v>
      </c>
      <c r="K59" s="1">
        <v>0.45454367845719246</v>
      </c>
      <c r="L59" s="55">
        <f>($K$58*H26+$K$59*H36+$K$60*H46)</f>
        <v>-1.9556881224458422E-6</v>
      </c>
      <c r="M59" s="1">
        <f t="shared" si="3"/>
        <v>3.8247160322757438E-12</v>
      </c>
      <c r="N59" s="38">
        <f>SUM(M58:M60)*100000</f>
        <v>8.7984766506783941E-6</v>
      </c>
      <c r="Q59" s="97"/>
      <c r="R59" s="30"/>
      <c r="S59" s="93">
        <f>S26</f>
        <v>0.43499981411694777</v>
      </c>
      <c r="T59" s="35">
        <f>SUMPRODUCT(V58:V60,U58:U60)</f>
        <v>0.13106823020315697</v>
      </c>
      <c r="U59" s="95">
        <v>0.61454506329400449</v>
      </c>
      <c r="V59" s="36">
        <v>0</v>
      </c>
      <c r="AD59" s="97"/>
      <c r="AE59" s="30"/>
      <c r="AF59" s="93">
        <f>AF26</f>
        <v>0.34117556542103333</v>
      </c>
      <c r="AG59" s="35">
        <f>SUMPRODUCT(AI58:AI60,AH58:AH60)</f>
        <v>1.6710526193475624E-2</v>
      </c>
      <c r="AH59" s="95">
        <v>0.60250794870802105</v>
      </c>
      <c r="AI59" s="36">
        <v>0</v>
      </c>
      <c r="AQ59" s="64"/>
      <c r="AT59" s="66"/>
      <c r="AU59" s="62"/>
    </row>
    <row r="60" spans="2:54" ht="15.75" thickBot="1" x14ac:dyDescent="0.3">
      <c r="B60" s="98"/>
      <c r="D60" s="30"/>
      <c r="E60" s="30"/>
      <c r="F60" s="30"/>
      <c r="G60" s="30"/>
      <c r="H60" s="39">
        <v>0</v>
      </c>
      <c r="J60" s="40" t="s">
        <v>11</v>
      </c>
      <c r="K60" s="41">
        <v>4.5454756112249167E-2</v>
      </c>
      <c r="L60" s="56">
        <f>($K$58*H27+$K$59*H37+$K$60*H47)</f>
        <v>1.9269771769359068E-6</v>
      </c>
      <c r="M60" s="41">
        <f t="shared" si="3"/>
        <v>3.7132410404318769E-12</v>
      </c>
      <c r="N60" s="42"/>
      <c r="Q60" s="98"/>
      <c r="R60" s="30"/>
      <c r="S60" s="30"/>
      <c r="T60" s="30"/>
      <c r="U60" s="95">
        <v>0.2490912965221882</v>
      </c>
      <c r="V60" s="39">
        <v>0</v>
      </c>
      <c r="AD60" s="98"/>
      <c r="AE60" s="30"/>
      <c r="AF60" s="94"/>
      <c r="AG60" s="30"/>
      <c r="AH60" s="95">
        <v>0.2136757279752852</v>
      </c>
      <c r="AI60" s="39">
        <v>0</v>
      </c>
      <c r="AQ60" s="64"/>
      <c r="AS60" s="57">
        <f>AS26*AT46*$AS$49</f>
        <v>0.34117632479760607</v>
      </c>
      <c r="AT60" s="65" t="s">
        <v>45</v>
      </c>
      <c r="AU60" s="62"/>
    </row>
    <row r="61" spans="2:54" x14ac:dyDescent="0.25">
      <c r="AH61" s="66"/>
    </row>
    <row r="62" spans="2:54" ht="15.75" thickBot="1" x14ac:dyDescent="0.3">
      <c r="AR62" s="3" t="s">
        <v>59</v>
      </c>
      <c r="AU62" s="61"/>
    </row>
    <row r="63" spans="2:54" ht="15.75" thickBot="1" x14ac:dyDescent="0.3">
      <c r="F63" s="66" t="s">
        <v>28</v>
      </c>
      <c r="G63" s="66" t="s">
        <v>26</v>
      </c>
      <c r="H63" s="66" t="s">
        <v>27</v>
      </c>
      <c r="I63" s="66" t="s">
        <v>29</v>
      </c>
      <c r="Q63" s="96" t="s">
        <v>4</v>
      </c>
      <c r="R63" s="30"/>
      <c r="S63" s="30"/>
      <c r="T63" s="30"/>
      <c r="U63" s="30"/>
      <c r="V63" s="51">
        <f t="array" ref="V63:V71">H52:H60</f>
        <v>1</v>
      </c>
      <c r="AD63" s="96" t="s">
        <v>4</v>
      </c>
      <c r="AE63" s="30"/>
      <c r="AF63" s="30"/>
      <c r="AG63" s="30"/>
      <c r="AH63" s="30"/>
      <c r="AI63" s="51">
        <f t="array" ref="AI63:AI71">H52:H60</f>
        <v>1</v>
      </c>
      <c r="AQ63" s="64"/>
    </row>
    <row r="64" spans="2:54" ht="15.75" thickBot="1" x14ac:dyDescent="0.3">
      <c r="E64" s="32" t="s">
        <v>9</v>
      </c>
      <c r="F64" s="33">
        <v>-2.5640783115591033</v>
      </c>
      <c r="G64" s="54">
        <f>($F$64*F20+$F$65*F30+$F$66*F40)</f>
        <v>0.66667178696843121</v>
      </c>
      <c r="H64" s="33">
        <f>(G64-F53)^2</f>
        <v>2.3092019353300013E-11</v>
      </c>
      <c r="I64" s="34"/>
      <c r="Q64" s="97"/>
      <c r="R64" s="30"/>
      <c r="S64" s="30"/>
      <c r="T64" s="35">
        <f>T53*T6</f>
        <v>0.66666666104519678</v>
      </c>
      <c r="U64" s="30"/>
      <c r="V64" s="52">
        <v>0</v>
      </c>
      <c r="AD64" s="97"/>
      <c r="AE64" s="30"/>
      <c r="AF64" s="30"/>
      <c r="AG64" s="35">
        <f>AG53*AG6</f>
        <v>0.66666671022331703</v>
      </c>
      <c r="AH64" s="30"/>
      <c r="AI64" s="52">
        <v>0</v>
      </c>
      <c r="AQ64" s="64"/>
      <c r="AS64" s="99" t="s">
        <v>42</v>
      </c>
      <c r="AT64" s="100"/>
      <c r="AV64" s="99" t="s">
        <v>55</v>
      </c>
      <c r="AW64" s="100"/>
      <c r="AY64" s="99" t="s">
        <v>56</v>
      </c>
      <c r="AZ64" s="100"/>
    </row>
    <row r="65" spans="4:52" ht="15.75" thickBot="1" x14ac:dyDescent="0.3">
      <c r="D65" s="13" t="s">
        <v>8</v>
      </c>
      <c r="E65" s="37" t="s">
        <v>10</v>
      </c>
      <c r="F65" s="1">
        <v>0.25597056266116719</v>
      </c>
      <c r="G65" s="55">
        <f>($F$64*F23+$F$65*F33+$F$66*F43)</f>
        <v>0.3300514223333561</v>
      </c>
      <c r="H65" s="1">
        <f>(G65-F56)^2</f>
        <v>8.379429762767308E-12</v>
      </c>
      <c r="I65" s="38">
        <f>SUM(H64:H66)*100000</f>
        <v>3.154248136115276E-6</v>
      </c>
      <c r="Q65" s="97"/>
      <c r="R65" s="30"/>
      <c r="S65" s="30"/>
      <c r="T65" s="30"/>
      <c r="U65" s="30"/>
      <c r="V65" s="53">
        <v>0</v>
      </c>
      <c r="AD65" s="97"/>
      <c r="AE65" s="30"/>
      <c r="AF65" s="30"/>
      <c r="AG65" s="30"/>
      <c r="AH65" s="30"/>
      <c r="AI65" s="53">
        <v>0</v>
      </c>
      <c r="AQ65" s="64"/>
      <c r="AS65" s="101"/>
      <c r="AT65" s="102"/>
      <c r="AV65" s="101"/>
      <c r="AW65" s="102"/>
      <c r="AY65" s="101"/>
      <c r="AZ65" s="102"/>
    </row>
    <row r="66" spans="4:52" ht="15.75" thickBot="1" x14ac:dyDescent="0.3">
      <c r="E66" s="40" t="s">
        <v>11</v>
      </c>
      <c r="F66" s="41">
        <v>3.5064152137451787E-2</v>
      </c>
      <c r="G66" s="56">
        <f>($F$64*F26+$F$65*F36+$F$66*F46)</f>
        <v>0.1336876662480877</v>
      </c>
      <c r="H66" s="41">
        <f>(G66-F59)^2</f>
        <v>7.1032245085443766E-14</v>
      </c>
      <c r="I66" s="42"/>
      <c r="Q66" s="97"/>
      <c r="R66" s="30"/>
      <c r="S66" s="30"/>
      <c r="T66" s="30"/>
      <c r="U66" s="30"/>
      <c r="V66" s="51">
        <v>1</v>
      </c>
      <c r="AD66" s="97"/>
      <c r="AE66" s="30"/>
      <c r="AF66" s="30"/>
      <c r="AG66" s="30"/>
      <c r="AH66" s="30"/>
      <c r="AI66" s="51">
        <v>1</v>
      </c>
      <c r="AQ66" s="64"/>
      <c r="AS66" s="103"/>
      <c r="AT66" s="104"/>
      <c r="AV66" s="103"/>
      <c r="AW66" s="104"/>
      <c r="AY66" s="103"/>
      <c r="AZ66" s="104"/>
    </row>
    <row r="67" spans="4:52" ht="15.75" thickBot="1" x14ac:dyDescent="0.3">
      <c r="Q67" s="97"/>
      <c r="R67" s="35">
        <f>R56*Num0</f>
        <v>0.41639575545556529</v>
      </c>
      <c r="S67" s="30"/>
      <c r="T67" s="35">
        <f>T56*T9</f>
        <v>0.33006528009112324</v>
      </c>
      <c r="U67" s="30"/>
      <c r="V67" s="52">
        <v>0</v>
      </c>
      <c r="AD67" s="97"/>
      <c r="AE67" s="35">
        <f>AE56*AE9</f>
        <v>0.41639380661503306</v>
      </c>
      <c r="AF67" s="30"/>
      <c r="AG67" s="35">
        <f>AG56*AG9</f>
        <v>0.33006682524529163</v>
      </c>
      <c r="AH67" s="30"/>
      <c r="AI67" s="52">
        <v>0</v>
      </c>
      <c r="AQ67" s="64"/>
    </row>
    <row r="68" spans="4:52" ht="15.75" thickBot="1" x14ac:dyDescent="0.3">
      <c r="Q68" s="97"/>
      <c r="R68" s="30"/>
      <c r="S68" s="30"/>
      <c r="T68" s="30"/>
      <c r="U68" s="30"/>
      <c r="V68" s="53">
        <v>0</v>
      </c>
      <c r="AD68" s="97"/>
      <c r="AE68" s="30"/>
      <c r="AF68" s="30"/>
      <c r="AG68" s="30"/>
      <c r="AH68" s="30"/>
      <c r="AI68" s="53">
        <v>0</v>
      </c>
      <c r="AQ68" s="64"/>
      <c r="AS68" s="57">
        <f t="array" ref="AS68:AS70">AU19:AU21*AS20</f>
        <v>0.36380008923206575</v>
      </c>
      <c r="AT68" s="67" t="s">
        <v>46</v>
      </c>
      <c r="AV68" s="57">
        <f t="shared" ref="AV68:AV76" si="4">AS68*AV39*$AS$49</f>
        <v>0.48954260373403696</v>
      </c>
      <c r="AW68" s="67" t="s">
        <v>46</v>
      </c>
      <c r="AY68" s="57">
        <f t="array" ref="AY68:AY70">AV68:AV70/AS54</f>
        <v>0.77777777121939629</v>
      </c>
      <c r="AZ68" s="67" t="s">
        <v>46</v>
      </c>
    </row>
    <row r="69" spans="4:52" ht="15.75" thickBot="1" x14ac:dyDescent="0.3">
      <c r="Q69" s="97"/>
      <c r="R69" s="30"/>
      <c r="S69" s="30"/>
      <c r="T69" s="30"/>
      <c r="U69" s="30"/>
      <c r="V69" s="51">
        <v>1</v>
      </c>
      <c r="AD69" s="97"/>
      <c r="AE69" s="30"/>
      <c r="AF69" s="30"/>
      <c r="AG69" s="30"/>
      <c r="AH69" s="30"/>
      <c r="AI69" s="51">
        <v>1</v>
      </c>
      <c r="AQ69" s="64"/>
      <c r="AS69" s="57">
        <v>8.5600045166115274E-2</v>
      </c>
      <c r="AT69" s="68" t="s">
        <v>47</v>
      </c>
      <c r="AV69" s="57">
        <f t="shared" si="4"/>
        <v>9.8731309303477829E-2</v>
      </c>
      <c r="AW69" s="68" t="s">
        <v>47</v>
      </c>
      <c r="AY69" s="57">
        <v>0.15686278806767864</v>
      </c>
      <c r="AZ69" s="68" t="s">
        <v>47</v>
      </c>
    </row>
    <row r="70" spans="4:52" ht="15.75" thickBot="1" x14ac:dyDescent="0.3">
      <c r="Q70" s="97"/>
      <c r="R70" s="30"/>
      <c r="S70" s="30"/>
      <c r="T70" s="35">
        <f>T59*T12</f>
        <v>0.13368959480722012</v>
      </c>
      <c r="U70" s="30"/>
      <c r="V70" s="52">
        <v>0</v>
      </c>
      <c r="AD70" s="97"/>
      <c r="AE70" s="30"/>
      <c r="AF70" s="30"/>
      <c r="AG70" s="35">
        <f>AG59*AG12</f>
        <v>0.13368420954780499</v>
      </c>
      <c r="AH70" s="30"/>
      <c r="AI70" s="52">
        <v>0</v>
      </c>
      <c r="AQ70" s="64"/>
      <c r="AS70" s="57">
        <v>8.5600002670019049E-2</v>
      </c>
      <c r="AT70" s="69" t="s">
        <v>48</v>
      </c>
      <c r="AV70" s="57">
        <f t="shared" si="4"/>
        <v>4.1138025120155255E-2</v>
      </c>
      <c r="AW70" s="69" t="s">
        <v>48</v>
      </c>
      <c r="AY70" s="57">
        <v>6.5359462580513408E-2</v>
      </c>
      <c r="AZ70" s="69" t="s">
        <v>48</v>
      </c>
    </row>
    <row r="71" spans="4:52" ht="15.75" thickBot="1" x14ac:dyDescent="0.3">
      <c r="Q71" s="98"/>
      <c r="R71" s="30"/>
      <c r="S71" s="30"/>
      <c r="T71" s="30"/>
      <c r="U71" s="30"/>
      <c r="V71" s="53">
        <v>0</v>
      </c>
      <c r="AD71" s="98"/>
      <c r="AE71" s="30"/>
      <c r="AF71" s="30"/>
      <c r="AG71" s="30"/>
      <c r="AH71" s="30"/>
      <c r="AI71" s="53">
        <v>0</v>
      </c>
      <c r="AQ71" s="64"/>
      <c r="AS71" s="57">
        <f t="array" ref="AS71:AS73">AU22:AU24*AS23</f>
        <v>1.0100006875583399E-2</v>
      </c>
      <c r="AT71" s="67" t="s">
        <v>52</v>
      </c>
      <c r="AV71" s="57">
        <f t="shared" si="4"/>
        <v>1.0678592429009745E-2</v>
      </c>
      <c r="AW71" s="67" t="s">
        <v>52</v>
      </c>
      <c r="AY71" s="57">
        <f t="array" ref="AY71:AY73">AV71:AV73/AS57</f>
        <v>0.36307180810023543</v>
      </c>
      <c r="AZ71" s="67" t="s">
        <v>52</v>
      </c>
    </row>
    <row r="72" spans="4:52" x14ac:dyDescent="0.25">
      <c r="AS72" s="57">
        <v>1.5800011733990094E-2</v>
      </c>
      <c r="AT72" s="68" t="s">
        <v>53</v>
      </c>
      <c r="AV72" s="57">
        <f t="shared" si="4"/>
        <v>1.5186478021905127E-2</v>
      </c>
      <c r="AW72" s="68" t="s">
        <v>53</v>
      </c>
      <c r="AY72" s="57">
        <v>0.51633977705794787</v>
      </c>
      <c r="AZ72" s="68" t="s">
        <v>53</v>
      </c>
    </row>
    <row r="73" spans="4:52" ht="15.75" thickBot="1" x14ac:dyDescent="0.3">
      <c r="AS73" s="57">
        <v>4.1000067029973919E-3</v>
      </c>
      <c r="AT73" s="69" t="s">
        <v>54</v>
      </c>
      <c r="AV73" s="57">
        <f t="shared" si="4"/>
        <v>3.546718601208817E-3</v>
      </c>
      <c r="AW73" s="69" t="s">
        <v>54</v>
      </c>
      <c r="AY73" s="57">
        <v>0.12058832134705194</v>
      </c>
      <c r="AZ73" s="69" t="s">
        <v>54</v>
      </c>
    </row>
    <row r="74" spans="4:52" x14ac:dyDescent="0.25">
      <c r="AS74" s="57">
        <f t="array" ref="AS74:AS76">AU25:AU27*AS26</f>
        <v>5.9318047868321025E-2</v>
      </c>
      <c r="AT74" s="67" t="s">
        <v>49</v>
      </c>
      <c r="AV74" s="57">
        <f t="shared" si="4"/>
        <v>6.2716121352511658E-2</v>
      </c>
      <c r="AW74" s="67" t="s">
        <v>49</v>
      </c>
      <c r="AY74" s="57">
        <f t="array" ref="AY74:AY76">AV74:AV76/AS60</f>
        <v>0.18382319285992765</v>
      </c>
      <c r="AZ74" s="67" t="s">
        <v>49</v>
      </c>
    </row>
    <row r="75" spans="4:52" x14ac:dyDescent="0.25">
      <c r="AS75" s="57">
        <v>0.26732698829937984</v>
      </c>
      <c r="AT75" s="68" t="s">
        <v>50</v>
      </c>
      <c r="AV75" s="57">
        <f t="shared" si="4"/>
        <v>0.20555708442858892</v>
      </c>
      <c r="AW75" s="68" t="s">
        <v>50</v>
      </c>
      <c r="AY75" s="57">
        <v>0.60249516009216142</v>
      </c>
      <c r="AZ75" s="68" t="s">
        <v>50</v>
      </c>
    </row>
    <row r="76" spans="4:52" ht="15.75" thickBot="1" x14ac:dyDescent="0.3">
      <c r="AS76" s="57">
        <v>0.10835466768530139</v>
      </c>
      <c r="AT76" s="69" t="s">
        <v>51</v>
      </c>
      <c r="AV76" s="57">
        <f t="shared" si="4"/>
        <v>7.2902986716369633E-2</v>
      </c>
      <c r="AW76" s="69" t="s">
        <v>51</v>
      </c>
      <c r="AY76" s="57">
        <v>0.21368125927148499</v>
      </c>
      <c r="AZ76" s="69" t="s">
        <v>51</v>
      </c>
    </row>
  </sheetData>
  <mergeCells count="28">
    <mergeCell ref="B19:B27"/>
    <mergeCell ref="B29:B37"/>
    <mergeCell ref="B39:B47"/>
    <mergeCell ref="B52:B60"/>
    <mergeCell ref="Q19:Q27"/>
    <mergeCell ref="Q29:Q37"/>
    <mergeCell ref="Q39:Q47"/>
    <mergeCell ref="Q52:Q60"/>
    <mergeCell ref="Q5:Q13"/>
    <mergeCell ref="X16:Y17"/>
    <mergeCell ref="Z16:AA17"/>
    <mergeCell ref="Q63:Q71"/>
    <mergeCell ref="AD5:AD13"/>
    <mergeCell ref="AD52:AD60"/>
    <mergeCell ref="AD63:AD71"/>
    <mergeCell ref="AK16:AL17"/>
    <mergeCell ref="AM16:AN17"/>
    <mergeCell ref="AD19:AD27"/>
    <mergeCell ref="AD29:AD37"/>
    <mergeCell ref="AD39:AD47"/>
    <mergeCell ref="AX5:AX13"/>
    <mergeCell ref="AS64:AT66"/>
    <mergeCell ref="AV64:AW66"/>
    <mergeCell ref="AY64:AZ66"/>
    <mergeCell ref="AQ5:AQ13"/>
    <mergeCell ref="AQ19:AQ27"/>
    <mergeCell ref="AQ29:AQ37"/>
    <mergeCell ref="AQ39:AQ47"/>
  </mergeCells>
  <phoneticPr fontId="2" type="noConversion"/>
  <pageMargins left="0.75" right="0.75" top="1" bottom="1" header="0" footer="0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Hoja1</vt:lpstr>
      <vt:lpstr>Num0</vt:lpstr>
      <vt:lpstr>tipo</vt:lpstr>
    </vt:vector>
  </TitlesOfParts>
  <Company>Universidad Autónoma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Maria Contreras Beltran</dc:creator>
  <cp:lastModifiedBy>José María Contreras Beltrán</cp:lastModifiedBy>
  <dcterms:created xsi:type="dcterms:W3CDTF">2008-02-22T09:43:22Z</dcterms:created>
  <dcterms:modified xsi:type="dcterms:W3CDTF">2025-03-31T08:13:47Z</dcterms:modified>
</cp:coreProperties>
</file>