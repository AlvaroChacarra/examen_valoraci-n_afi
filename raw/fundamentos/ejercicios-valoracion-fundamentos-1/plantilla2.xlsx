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nsultoria\Proyectos\Chema\Formación\MFC\Sesion_1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Num0">Hoja1!$R$9</definedName>
    <definedName name="solver_adj" localSheetId="0" hidden="1">Hoja1!$F$64:$F$66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10000</definedName>
    <definedName name="solver_lhs1" localSheetId="0" hidden="1">Hoja1!$U$21</definedName>
    <definedName name="solver_lhs2" localSheetId="0" hidden="1">Hoja1!$U$20</definedName>
    <definedName name="solver_lhs3" localSheetId="0" hidden="1">Hoja1!$U$21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Hoja1!$I$65</definedName>
    <definedName name="solver_pre" localSheetId="0" hidden="1">0.0000000001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hs1" localSheetId="0" hidden="1">0</definedName>
    <definedName name="solver_rhs2" localSheetId="0" hidden="1">0</definedName>
    <definedName name="solver_rhs3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10000</definedName>
    <definedName name="solver_tol" localSheetId="0" hidden="1">0.05</definedName>
    <definedName name="solver_typ" localSheetId="0" hidden="1">3</definedName>
    <definedName name="solver_val" localSheetId="0" hidden="1">0</definedName>
    <definedName name="solver_ver" localSheetId="0" hidden="1">3</definedName>
    <definedName name="tipo">Hoja1!$E$16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F26" i="1"/>
  <c r="F23" i="1"/>
  <c r="F20" i="1"/>
  <c r="T6" i="1" s="1"/>
  <c r="H27" i="1"/>
  <c r="H26" i="1"/>
  <c r="H25" i="1"/>
  <c r="H24" i="1"/>
  <c r="H23" i="1"/>
  <c r="H22" i="1"/>
  <c r="H19" i="1"/>
  <c r="H20" i="1"/>
  <c r="H21" i="1"/>
  <c r="V5" i="1" l="1" a="1"/>
  <c r="V5" i="1" s="1"/>
  <c r="T12" i="1"/>
  <c r="T9" i="1"/>
  <c r="V7" i="1" l="1"/>
  <c r="V12" i="1"/>
  <c r="V11" i="1"/>
  <c r="V8" i="1"/>
  <c r="V9" i="1"/>
  <c r="V10" i="1"/>
  <c r="V13" i="1"/>
  <c r="V6" i="1"/>
</calcChain>
</file>

<file path=xl/sharedStrings.xml><?xml version="1.0" encoding="utf-8"?>
<sst xmlns="http://schemas.openxmlformats.org/spreadsheetml/2006/main" count="49" uniqueCount="36">
  <si>
    <t>r</t>
  </si>
  <si>
    <t>activo S1</t>
  </si>
  <si>
    <t>activo S2</t>
  </si>
  <si>
    <t>activo S3</t>
  </si>
  <si>
    <t>activo X</t>
  </si>
  <si>
    <t>nodo a</t>
  </si>
  <si>
    <t>nodo b</t>
  </si>
  <si>
    <t>nodo c</t>
  </si>
  <si>
    <t>nodo inicial</t>
  </si>
  <si>
    <t>lambda1</t>
  </si>
  <si>
    <t>lambda2</t>
  </si>
  <si>
    <t>lambda3</t>
  </si>
  <si>
    <t>Elegimos como numerario el activo S1</t>
  </si>
  <si>
    <t>activo S1/N</t>
  </si>
  <si>
    <t>activo X/N</t>
  </si>
  <si>
    <t>activo S3/N</t>
  </si>
  <si>
    <t>activo S2/N</t>
  </si>
  <si>
    <t>numerario N</t>
  </si>
  <si>
    <t>probabilidades</t>
  </si>
  <si>
    <t>cálculos para nodos finales</t>
  </si>
  <si>
    <t>error en a</t>
  </si>
  <si>
    <t>error en b</t>
  </si>
  <si>
    <t>error en c</t>
  </si>
  <si>
    <t>cálculos para nodo inicial</t>
  </si>
  <si>
    <t>Cálculo de carteras replicantes</t>
  </si>
  <si>
    <t>error inicial</t>
  </si>
  <si>
    <t>composición</t>
  </si>
  <si>
    <t>flujo</t>
  </si>
  <si>
    <t>error</t>
  </si>
  <si>
    <t>compos</t>
  </si>
  <si>
    <t>total</t>
  </si>
  <si>
    <t>Una vez calculadas las probabilidades de valoración,</t>
  </si>
  <si>
    <t>las usamos para valorar un activo X cualquiera</t>
  </si>
  <si>
    <t>Modelo: tres activos, con los siguientes valores en cada uno de los escenarios:</t>
  </si>
  <si>
    <t>Valoración por replicación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</si>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</sst>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00"/>
    <numFmt numFmtId="165" formatCode="0.0000000"/>
    <numFmt numFmtId="166" formatCode="0.0000%"/>
    <numFmt numFmtId="168" formatCode="0.000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6" borderId="0" xfId="0" applyFont="1" applyFill="1"/>
    <xf numFmtId="0" fontId="4" fillId="0" borderId="0" xfId="0" applyFont="1"/>
    <xf numFmtId="0" fontId="5" fillId="0" borderId="0" xfId="0" applyFont="1" applyBorder="1" applyAlignment="1">
      <alignment vertical="center" textRotation="90" wrapText="1"/>
    </xf>
    <xf numFmtId="0" fontId="4" fillId="0" borderId="6" xfId="0" applyFont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9" fontId="3" fillId="0" borderId="0" xfId="0" applyNumberFormat="1" applyFont="1"/>
    <xf numFmtId="0" fontId="3" fillId="0" borderId="9" xfId="0" applyFont="1" applyBorder="1"/>
    <xf numFmtId="0" fontId="3" fillId="0" borderId="11" xfId="0" applyFont="1" applyBorder="1"/>
    <xf numFmtId="0" fontId="3" fillId="0" borderId="14" xfId="0" applyFont="1" applyBorder="1"/>
    <xf numFmtId="0" fontId="4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10" fontId="6" fillId="2" borderId="0" xfId="1" applyNumberFormat="1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4" borderId="0" xfId="1" applyNumberFormat="1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166" fontId="6" fillId="5" borderId="0" xfId="0" applyNumberFormat="1" applyFont="1" applyFill="1" applyAlignment="1">
      <alignment horizontal="center"/>
    </xf>
    <xf numFmtId="10" fontId="6" fillId="5" borderId="0" xfId="0" applyNumberFormat="1" applyFont="1" applyFill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9" borderId="3" xfId="0" applyFont="1" applyFill="1" applyBorder="1"/>
    <xf numFmtId="0" fontId="3" fillId="9" borderId="11" xfId="0" applyFont="1" applyFill="1" applyBorder="1" applyAlignment="1">
      <alignment horizontal="center"/>
    </xf>
    <xf numFmtId="0" fontId="3" fillId="10" borderId="3" xfId="0" applyFont="1" applyFill="1" applyBorder="1"/>
    <xf numFmtId="0" fontId="3" fillId="10" borderId="11" xfId="0" applyFont="1" applyFill="1" applyBorder="1" applyAlignment="1">
      <alignment horizontal="center"/>
    </xf>
    <xf numFmtId="0" fontId="3" fillId="11" borderId="3" xfId="0" applyFont="1" applyFill="1" applyBorder="1"/>
    <xf numFmtId="0" fontId="3" fillId="12" borderId="3" xfId="0" applyFont="1" applyFill="1" applyBorder="1"/>
    <xf numFmtId="0" fontId="3" fillId="11" borderId="4" xfId="0" applyFont="1" applyFill="1" applyBorder="1"/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7" xfId="0" applyFont="1" applyFill="1" applyBorder="1"/>
    <xf numFmtId="0" fontId="3" fillId="0" borderId="8" xfId="0" applyFont="1" applyFill="1" applyBorder="1"/>
    <xf numFmtId="165" fontId="3" fillId="0" borderId="8" xfId="0" applyNumberFormat="1" applyFont="1" applyFill="1" applyBorder="1"/>
    <xf numFmtId="164" fontId="3" fillId="0" borderId="8" xfId="0" applyNumberFormat="1" applyFont="1" applyFill="1" applyBorder="1"/>
    <xf numFmtId="0" fontId="3" fillId="0" borderId="9" xfId="0" applyFont="1" applyFill="1" applyBorder="1"/>
    <xf numFmtId="0" fontId="3" fillId="0" borderId="10" xfId="0" applyFont="1" applyFill="1" applyBorder="1"/>
    <xf numFmtId="0" fontId="3" fillId="0" borderId="0" xfId="0" applyFont="1" applyFill="1" applyBorder="1"/>
    <xf numFmtId="168" fontId="3" fillId="0" borderId="11" xfId="0" applyNumberFormat="1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4" xfId="0" applyFont="1" applyFill="1" applyBorder="1"/>
    <xf numFmtId="165" fontId="3" fillId="0" borderId="0" xfId="0" applyNumberFormat="1" applyFont="1" applyFill="1" applyBorder="1"/>
    <xf numFmtId="164" fontId="3" fillId="0" borderId="0" xfId="0" applyNumberFormat="1" applyFont="1" applyFill="1" applyBorder="1"/>
    <xf numFmtId="165" fontId="3" fillId="0" borderId="13" xfId="0" applyNumberFormat="1" applyFont="1" applyFill="1" applyBorder="1"/>
    <xf numFmtId="164" fontId="3" fillId="0" borderId="13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1022106</xdr:colOff>
      <xdr:row>6</xdr:row>
      <xdr:rowOff>75467</xdr:rowOff>
    </xdr:from>
    <xdr:to>
      <xdr:col>11</xdr:col>
      <xdr:colOff>214678</xdr:colOff>
      <xdr:row>22</xdr:row>
      <xdr:rowOff>134083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0048" y="1240448"/>
          <a:ext cx="2658207" cy="315790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AC71"/>
  <sheetViews>
    <sheetView showGridLines="0" tabSelected="1" zoomScale="130" zoomScaleNormal="130" workbookViewId="0"/>
  </sheetViews>
  <sheetFormatPr defaultColWidth="11.42578125" defaultRowHeight="15" x14ac:dyDescent="0.25"/>
  <cols>
    <col min="1" max="1" width="10.7109375" style="1" customWidth="1"/>
    <col min="2" max="2" width="7" style="1" customWidth="1"/>
    <col min="3" max="3" width="5.140625" style="1" customWidth="1"/>
    <col min="4" max="6" width="11.42578125" style="1"/>
    <col min="7" max="7" width="12.28515625" style="1" bestFit="1" customWidth="1"/>
    <col min="8" max="8" width="17.7109375" style="1" bestFit="1" customWidth="1"/>
    <col min="9" max="11" width="11.42578125" style="1"/>
    <col min="12" max="12" width="13.28515625" style="1" bestFit="1" customWidth="1"/>
    <col min="13" max="13" width="14" style="1" bestFit="1" customWidth="1"/>
    <col min="14" max="14" width="15" style="1" bestFit="1" customWidth="1"/>
    <col min="15" max="15" width="6.5703125" style="1" customWidth="1"/>
    <col min="16" max="16" width="5.140625" style="2" customWidth="1"/>
    <col min="17" max="17" width="6.28515625" style="1" customWidth="1"/>
    <col min="18" max="24" width="11.42578125" style="1"/>
    <col min="25" max="25" width="14" style="1" customWidth="1"/>
    <col min="26" max="26" width="12" style="1" bestFit="1" customWidth="1"/>
    <col min="27" max="28" width="11.42578125" style="1"/>
    <col min="29" max="29" width="5.140625" style="2" customWidth="1"/>
    <col min="30" max="16384" width="11.42578125" style="1"/>
  </cols>
  <sheetData>
    <row r="3" spans="2:27" x14ac:dyDescent="0.25">
      <c r="R3" s="3" t="s">
        <v>12</v>
      </c>
    </row>
    <row r="4" spans="2:27" ht="15.75" thickBot="1" x14ac:dyDescent="0.3"/>
    <row r="5" spans="2:27" ht="15.75" customHeight="1" thickBot="1" x14ac:dyDescent="0.3">
      <c r="Q5" s="66" t="s">
        <v>17</v>
      </c>
      <c r="R5" s="42"/>
      <c r="S5" s="42"/>
      <c r="T5" s="42"/>
      <c r="U5" s="42"/>
      <c r="V5" s="43">
        <f t="array" ref="V5:V13">H19:H27</f>
        <v>1.0404</v>
      </c>
    </row>
    <row r="6" spans="2:27" ht="15.75" thickBot="1" x14ac:dyDescent="0.3">
      <c r="Q6" s="67"/>
      <c r="R6" s="42"/>
      <c r="S6" s="42"/>
      <c r="T6" s="44">
        <f>F20</f>
        <v>1.02</v>
      </c>
      <c r="U6" s="42"/>
      <c r="V6" s="45">
        <v>1.0404</v>
      </c>
    </row>
    <row r="7" spans="2:27" ht="15.75" thickBot="1" x14ac:dyDescent="0.3">
      <c r="J7" s="1" t="s">
        <v>35</v>
      </c>
      <c r="Q7" s="67"/>
      <c r="R7" s="42"/>
      <c r="S7" s="42"/>
      <c r="T7" s="42"/>
      <c r="U7" s="42"/>
      <c r="V7" s="46">
        <v>1.0404</v>
      </c>
    </row>
    <row r="8" spans="2:27" ht="13.5" customHeight="1" thickBot="1" x14ac:dyDescent="0.3">
      <c r="Q8" s="67"/>
      <c r="R8" s="42"/>
      <c r="S8" s="42"/>
      <c r="T8" s="42"/>
      <c r="U8" s="42"/>
      <c r="V8" s="43">
        <v>1.0404</v>
      </c>
    </row>
    <row r="9" spans="2:27" ht="13.5" customHeight="1" thickBot="1" x14ac:dyDescent="0.3">
      <c r="Q9" s="67"/>
      <c r="R9" s="47">
        <f>D23</f>
        <v>1</v>
      </c>
      <c r="S9" s="42"/>
      <c r="T9" s="44">
        <f>F23</f>
        <v>1.02</v>
      </c>
      <c r="U9" s="42"/>
      <c r="V9" s="45">
        <v>1.0404</v>
      </c>
    </row>
    <row r="10" spans="2:27" ht="15.75" thickBot="1" x14ac:dyDescent="0.3">
      <c r="Q10" s="67"/>
      <c r="R10" s="42"/>
      <c r="S10" s="42"/>
      <c r="T10" s="42"/>
      <c r="U10" s="42"/>
      <c r="V10" s="46">
        <v>1.0404</v>
      </c>
    </row>
    <row r="11" spans="2:27" ht="15.75" thickBot="1" x14ac:dyDescent="0.3">
      <c r="Q11" s="67"/>
      <c r="R11" s="42"/>
      <c r="S11" s="42"/>
      <c r="T11" s="42"/>
      <c r="U11" s="42"/>
      <c r="V11" s="43">
        <v>1.0404</v>
      </c>
    </row>
    <row r="12" spans="2:27" ht="15.75" thickBot="1" x14ac:dyDescent="0.3">
      <c r="B12" s="3" t="s">
        <v>33</v>
      </c>
      <c r="Q12" s="67"/>
      <c r="R12" s="42"/>
      <c r="S12" s="42"/>
      <c r="T12" s="44">
        <f>F26</f>
        <v>1.02</v>
      </c>
      <c r="U12" s="42"/>
      <c r="V12" s="45">
        <v>1.0404</v>
      </c>
    </row>
    <row r="13" spans="2:27" ht="15.75" thickBot="1" x14ac:dyDescent="0.3">
      <c r="Q13" s="68"/>
      <c r="R13" s="42"/>
      <c r="S13" s="42"/>
      <c r="T13" s="42"/>
      <c r="U13" s="42"/>
      <c r="V13" s="46">
        <v>1.0404</v>
      </c>
    </row>
    <row r="14" spans="2:27" x14ac:dyDescent="0.25">
      <c r="Q14" s="4"/>
      <c r="R14" s="25"/>
      <c r="S14" s="25"/>
      <c r="T14" s="25"/>
      <c r="U14" s="25"/>
      <c r="V14" s="25"/>
    </row>
    <row r="15" spans="2:27" ht="15.75" thickBot="1" x14ac:dyDescent="0.3">
      <c r="Q15" s="4"/>
      <c r="R15" s="25"/>
      <c r="S15" s="25"/>
      <c r="T15" s="25"/>
      <c r="U15" s="25"/>
      <c r="V15" s="25"/>
    </row>
    <row r="16" spans="2:27" ht="15.75" customHeight="1" thickBot="1" x14ac:dyDescent="0.3">
      <c r="D16" s="5" t="s">
        <v>0</v>
      </c>
      <c r="E16" s="6">
        <v>0.02</v>
      </c>
      <c r="Q16" s="4"/>
      <c r="R16" s="25"/>
      <c r="S16" s="25"/>
      <c r="T16" s="25"/>
      <c r="U16" s="25"/>
      <c r="V16" s="25"/>
      <c r="X16" s="69" t="s">
        <v>19</v>
      </c>
      <c r="Y16" s="70"/>
      <c r="Z16" s="69" t="s">
        <v>23</v>
      </c>
      <c r="AA16" s="70"/>
    </row>
    <row r="17" spans="2:27" ht="15.75" thickBot="1" x14ac:dyDescent="0.3">
      <c r="R17" s="25"/>
      <c r="S17" s="25"/>
      <c r="T17" s="25"/>
      <c r="U17" s="25"/>
      <c r="V17" s="25"/>
      <c r="X17" s="71"/>
      <c r="Y17" s="72"/>
      <c r="Z17" s="71"/>
      <c r="AA17" s="72"/>
    </row>
    <row r="18" spans="2:27" ht="15.75" thickBot="1" x14ac:dyDescent="0.3">
      <c r="R18" s="25"/>
      <c r="S18" s="25"/>
      <c r="T18" s="25"/>
      <c r="U18" s="7" t="s">
        <v>18</v>
      </c>
      <c r="V18" s="25"/>
      <c r="X18" s="13"/>
      <c r="Y18" s="9"/>
      <c r="Z18" s="13"/>
      <c r="AA18" s="13"/>
    </row>
    <row r="19" spans="2:27" ht="15.75" customHeight="1" thickBot="1" x14ac:dyDescent="0.3">
      <c r="B19" s="66" t="s">
        <v>1</v>
      </c>
      <c r="D19" s="24"/>
      <c r="E19" s="24"/>
      <c r="F19" s="24"/>
      <c r="G19" s="24"/>
      <c r="H19" s="21">
        <f t="shared" ref="H19:H27" si="0">(1+tipo)^2</f>
        <v>1.0404</v>
      </c>
      <c r="Q19" s="66" t="s">
        <v>13</v>
      </c>
      <c r="R19" s="24"/>
      <c r="S19" s="24"/>
      <c r="T19" s="24"/>
      <c r="U19" s="48"/>
      <c r="V19" s="21"/>
      <c r="X19" s="14"/>
      <c r="Y19" s="10"/>
      <c r="Z19" s="14"/>
      <c r="AA19" s="14"/>
    </row>
    <row r="20" spans="2:27" ht="15.75" thickBot="1" x14ac:dyDescent="0.3">
      <c r="B20" s="67"/>
      <c r="D20" s="24"/>
      <c r="E20" s="24"/>
      <c r="F20" s="20">
        <f>(1+tipo)</f>
        <v>1.02</v>
      </c>
      <c r="G20" s="24"/>
      <c r="H20" s="22">
        <f t="shared" si="0"/>
        <v>1.0404</v>
      </c>
      <c r="Q20" s="67"/>
      <c r="R20" s="24"/>
      <c r="S20" s="48"/>
      <c r="T20" s="20"/>
      <c r="U20" s="48"/>
      <c r="V20" s="22"/>
      <c r="X20" s="59"/>
      <c r="Y20" s="10"/>
      <c r="Z20" s="14"/>
      <c r="AA20" s="14"/>
    </row>
    <row r="21" spans="2:27" ht="15.75" thickBot="1" x14ac:dyDescent="0.3">
      <c r="B21" s="67"/>
      <c r="D21" s="24"/>
      <c r="E21" s="24"/>
      <c r="F21" s="24"/>
      <c r="G21" s="24"/>
      <c r="H21" s="23">
        <f t="shared" si="0"/>
        <v>1.0404</v>
      </c>
      <c r="Q21" s="67"/>
      <c r="R21" s="24"/>
      <c r="S21" s="24"/>
      <c r="T21" s="24"/>
      <c r="U21" s="48"/>
      <c r="V21" s="23"/>
      <c r="X21" s="14"/>
      <c r="Y21" s="10"/>
      <c r="Z21" s="14"/>
      <c r="AA21" s="14"/>
    </row>
    <row r="22" spans="2:27" ht="15.75" thickBot="1" x14ac:dyDescent="0.3">
      <c r="B22" s="67"/>
      <c r="C22" s="8"/>
      <c r="D22" s="24"/>
      <c r="E22" s="24"/>
      <c r="F22" s="24"/>
      <c r="G22" s="24"/>
      <c r="H22" s="21">
        <f t="shared" si="0"/>
        <v>1.0404</v>
      </c>
      <c r="Q22" s="67"/>
      <c r="R22" s="24"/>
      <c r="S22" s="24"/>
      <c r="T22" s="24"/>
      <c r="U22" s="48"/>
      <c r="V22" s="21"/>
      <c r="X22" s="14"/>
      <c r="Y22" s="10"/>
      <c r="Z22" s="14"/>
      <c r="AA22" s="14"/>
    </row>
    <row r="23" spans="2:27" ht="15.75" thickBot="1" x14ac:dyDescent="0.3">
      <c r="B23" s="67"/>
      <c r="D23" s="20">
        <v>1</v>
      </c>
      <c r="E23" s="24"/>
      <c r="F23" s="20">
        <f>(1+tipo)</f>
        <v>1.02</v>
      </c>
      <c r="G23" s="24"/>
      <c r="H23" s="22">
        <f t="shared" si="0"/>
        <v>1.0404</v>
      </c>
      <c r="Q23" s="67"/>
      <c r="R23" s="20"/>
      <c r="S23" s="48"/>
      <c r="T23" s="20"/>
      <c r="U23" s="48"/>
      <c r="V23" s="22"/>
      <c r="X23" s="61"/>
      <c r="Y23" s="10"/>
      <c r="Z23" s="63"/>
      <c r="AA23" s="14"/>
    </row>
    <row r="24" spans="2:27" ht="15.75" thickBot="1" x14ac:dyDescent="0.3">
      <c r="B24" s="67"/>
      <c r="D24" s="24"/>
      <c r="E24" s="24"/>
      <c r="F24" s="24"/>
      <c r="G24" s="24"/>
      <c r="H24" s="23">
        <f t="shared" si="0"/>
        <v>1.0404</v>
      </c>
      <c r="Q24" s="67"/>
      <c r="R24" s="24"/>
      <c r="S24" s="24"/>
      <c r="T24" s="24"/>
      <c r="U24" s="48"/>
      <c r="V24" s="23"/>
      <c r="X24" s="14"/>
      <c r="Y24" s="10"/>
      <c r="Z24" s="14"/>
      <c r="AA24" s="14"/>
    </row>
    <row r="25" spans="2:27" ht="15.75" thickBot="1" x14ac:dyDescent="0.3">
      <c r="B25" s="67"/>
      <c r="D25" s="24"/>
      <c r="E25" s="24"/>
      <c r="F25" s="24"/>
      <c r="G25" s="24"/>
      <c r="H25" s="21">
        <f t="shared" si="0"/>
        <v>1.0404</v>
      </c>
      <c r="Q25" s="67"/>
      <c r="R25" s="24"/>
      <c r="S25" s="24"/>
      <c r="T25" s="24"/>
      <c r="U25" s="48"/>
      <c r="V25" s="21"/>
      <c r="X25" s="14"/>
      <c r="Y25" s="10"/>
      <c r="Z25" s="14"/>
      <c r="AA25" s="14"/>
    </row>
    <row r="26" spans="2:27" ht="15.75" thickBot="1" x14ac:dyDescent="0.3">
      <c r="B26" s="67"/>
      <c r="D26" s="24"/>
      <c r="E26" s="24"/>
      <c r="F26" s="20">
        <f>(1+tipo)</f>
        <v>1.02</v>
      </c>
      <c r="G26" s="24"/>
      <c r="H26" s="22">
        <f t="shared" si="0"/>
        <v>1.0404</v>
      </c>
      <c r="Q26" s="67"/>
      <c r="R26" s="24"/>
      <c r="S26" s="48"/>
      <c r="T26" s="20"/>
      <c r="U26" s="48"/>
      <c r="V26" s="22"/>
      <c r="X26" s="64"/>
      <c r="Y26" s="17" t="s">
        <v>20</v>
      </c>
      <c r="Z26" s="14"/>
      <c r="AA26" s="14"/>
    </row>
    <row r="27" spans="2:27" ht="15.75" thickBot="1" x14ac:dyDescent="0.3">
      <c r="B27" s="68"/>
      <c r="D27" s="24"/>
      <c r="E27" s="24"/>
      <c r="F27" s="24"/>
      <c r="G27" s="24"/>
      <c r="H27" s="23">
        <f t="shared" si="0"/>
        <v>1.0404</v>
      </c>
      <c r="Q27" s="68"/>
      <c r="R27" s="24"/>
      <c r="S27" s="24"/>
      <c r="T27" s="24"/>
      <c r="U27" s="48"/>
      <c r="V27" s="23"/>
      <c r="X27" s="14"/>
      <c r="Y27" s="60"/>
      <c r="Z27" s="14"/>
      <c r="AA27" s="14"/>
    </row>
    <row r="28" spans="2:27" ht="15.75" thickBot="1" x14ac:dyDescent="0.3">
      <c r="D28" s="25"/>
      <c r="E28" s="25"/>
      <c r="F28" s="25"/>
      <c r="G28" s="25"/>
      <c r="H28" s="25"/>
      <c r="R28" s="25"/>
      <c r="S28" s="25"/>
      <c r="T28" s="25"/>
      <c r="U28" s="25"/>
      <c r="V28" s="25"/>
      <c r="X28" s="14"/>
      <c r="Y28" s="18" t="s">
        <v>21</v>
      </c>
      <c r="Z28" s="14"/>
      <c r="AA28" s="14"/>
    </row>
    <row r="29" spans="2:27" ht="15.75" customHeight="1" thickBot="1" x14ac:dyDescent="0.3">
      <c r="B29" s="66" t="s">
        <v>2</v>
      </c>
      <c r="D29" s="26"/>
      <c r="E29" s="26"/>
      <c r="F29" s="26"/>
      <c r="G29" s="26"/>
      <c r="H29" s="27">
        <v>14</v>
      </c>
      <c r="Q29" s="66" t="s">
        <v>16</v>
      </c>
      <c r="R29" s="26"/>
      <c r="S29" s="26"/>
      <c r="T29" s="26"/>
      <c r="U29" s="49"/>
      <c r="V29" s="27"/>
      <c r="X29" s="14"/>
      <c r="Y29" s="62"/>
      <c r="Z29" s="14"/>
      <c r="AA29" s="14"/>
    </row>
    <row r="30" spans="2:27" ht="15.75" thickBot="1" x14ac:dyDescent="0.3">
      <c r="B30" s="67"/>
      <c r="D30" s="26"/>
      <c r="E30" s="26"/>
      <c r="F30" s="28">
        <v>12</v>
      </c>
      <c r="G30" s="26"/>
      <c r="H30" s="29">
        <v>12</v>
      </c>
      <c r="Q30" s="67"/>
      <c r="R30" s="26"/>
      <c r="S30" s="50"/>
      <c r="T30" s="28"/>
      <c r="U30" s="49"/>
      <c r="V30" s="29"/>
      <c r="X30" s="59"/>
      <c r="Y30" s="18" t="s">
        <v>22</v>
      </c>
      <c r="Z30" s="14"/>
      <c r="AA30" s="14"/>
    </row>
    <row r="31" spans="2:27" ht="15.75" thickBot="1" x14ac:dyDescent="0.3">
      <c r="B31" s="67"/>
      <c r="D31" s="26"/>
      <c r="E31" s="26"/>
      <c r="F31" s="26"/>
      <c r="G31" s="26"/>
      <c r="H31" s="30">
        <v>5</v>
      </c>
      <c r="Q31" s="67"/>
      <c r="R31" s="26"/>
      <c r="S31" s="26"/>
      <c r="T31" s="26"/>
      <c r="U31" s="49"/>
      <c r="V31" s="30"/>
      <c r="X31" s="14"/>
      <c r="Y31" s="64"/>
      <c r="Z31" s="14"/>
      <c r="AA31" s="16" t="s">
        <v>25</v>
      </c>
    </row>
    <row r="32" spans="2:27" ht="15.75" thickBot="1" x14ac:dyDescent="0.3">
      <c r="B32" s="67"/>
      <c r="D32" s="26"/>
      <c r="E32" s="26"/>
      <c r="F32" s="26"/>
      <c r="G32" s="26"/>
      <c r="H32" s="27">
        <v>11</v>
      </c>
      <c r="Q32" s="67"/>
      <c r="R32" s="26"/>
      <c r="S32" s="26"/>
      <c r="T32" s="26"/>
      <c r="U32" s="49"/>
      <c r="V32" s="27"/>
      <c r="X32" s="14"/>
      <c r="Y32" s="12"/>
      <c r="Z32" s="14"/>
      <c r="AA32" s="65"/>
    </row>
    <row r="33" spans="2:27" ht="15.75" thickBot="1" x14ac:dyDescent="0.3">
      <c r="B33" s="67"/>
      <c r="D33" s="28">
        <v>10</v>
      </c>
      <c r="E33" s="26"/>
      <c r="F33" s="28">
        <v>10</v>
      </c>
      <c r="G33" s="26"/>
      <c r="H33" s="29">
        <v>10</v>
      </c>
      <c r="Q33" s="67"/>
      <c r="R33" s="28"/>
      <c r="S33" s="50"/>
      <c r="T33" s="28"/>
      <c r="U33" s="49"/>
      <c r="V33" s="29"/>
      <c r="X33" s="61"/>
      <c r="Y33" s="19"/>
      <c r="Z33" s="63"/>
      <c r="AA33" s="14"/>
    </row>
    <row r="34" spans="2:27" ht="15.75" thickBot="1" x14ac:dyDescent="0.3">
      <c r="B34" s="67"/>
      <c r="D34" s="26"/>
      <c r="E34" s="26"/>
      <c r="F34" s="26"/>
      <c r="G34" s="26"/>
      <c r="H34" s="30">
        <v>9</v>
      </c>
      <c r="Q34" s="67"/>
      <c r="R34" s="26"/>
      <c r="S34" s="26"/>
      <c r="T34" s="26"/>
      <c r="U34" s="49"/>
      <c r="V34" s="30"/>
      <c r="X34" s="14"/>
      <c r="Y34" s="10"/>
      <c r="Z34" s="14"/>
      <c r="AA34" s="14"/>
    </row>
    <row r="35" spans="2:27" ht="15.75" thickBot="1" x14ac:dyDescent="0.3">
      <c r="B35" s="67"/>
      <c r="D35" s="26"/>
      <c r="E35" s="26"/>
      <c r="F35" s="26"/>
      <c r="G35" s="26"/>
      <c r="H35" s="27">
        <v>11</v>
      </c>
      <c r="Q35" s="67"/>
      <c r="R35" s="26"/>
      <c r="S35" s="26"/>
      <c r="T35" s="26"/>
      <c r="U35" s="49"/>
      <c r="V35" s="27"/>
      <c r="X35" s="14"/>
      <c r="Y35" s="10"/>
      <c r="Z35" s="14"/>
      <c r="AA35" s="14"/>
    </row>
    <row r="36" spans="2:27" ht="15.75" thickBot="1" x14ac:dyDescent="0.3">
      <c r="B36" s="67"/>
      <c r="D36" s="26"/>
      <c r="E36" s="26"/>
      <c r="F36" s="28">
        <v>8</v>
      </c>
      <c r="G36" s="26"/>
      <c r="H36" s="29">
        <v>8</v>
      </c>
      <c r="Q36" s="67"/>
      <c r="R36" s="26"/>
      <c r="S36" s="50"/>
      <c r="T36" s="28"/>
      <c r="U36" s="49"/>
      <c r="V36" s="29"/>
      <c r="X36" s="64"/>
      <c r="Y36" s="10"/>
      <c r="Z36" s="14"/>
      <c r="AA36" s="14"/>
    </row>
    <row r="37" spans="2:27" ht="15.75" thickBot="1" x14ac:dyDescent="0.3">
      <c r="B37" s="68"/>
      <c r="D37" s="26"/>
      <c r="E37" s="26"/>
      <c r="F37" s="26"/>
      <c r="G37" s="26"/>
      <c r="H37" s="30">
        <v>7</v>
      </c>
      <c r="Q37" s="68"/>
      <c r="R37" s="26"/>
      <c r="S37" s="26"/>
      <c r="T37" s="26"/>
      <c r="U37" s="49"/>
      <c r="V37" s="30"/>
      <c r="X37" s="14"/>
      <c r="Y37" s="10"/>
      <c r="Z37" s="14"/>
      <c r="AA37" s="14"/>
    </row>
    <row r="38" spans="2:27" ht="15.75" thickBot="1" x14ac:dyDescent="0.3">
      <c r="D38" s="25"/>
      <c r="E38" s="25"/>
      <c r="F38" s="25"/>
      <c r="G38" s="25"/>
      <c r="H38" s="25"/>
      <c r="R38" s="25"/>
      <c r="S38" s="25"/>
      <c r="T38" s="25"/>
      <c r="U38" s="25"/>
      <c r="V38" s="25"/>
      <c r="X38" s="14"/>
      <c r="Y38" s="10"/>
      <c r="Z38" s="14"/>
      <c r="AA38" s="14"/>
    </row>
    <row r="39" spans="2:27" ht="15.75" customHeight="1" thickBot="1" x14ac:dyDescent="0.3">
      <c r="B39" s="66" t="s">
        <v>3</v>
      </c>
      <c r="D39" s="31"/>
      <c r="E39" s="31"/>
      <c r="F39" s="31"/>
      <c r="G39" s="31"/>
      <c r="H39" s="32">
        <v>5</v>
      </c>
      <c r="Q39" s="66" t="s">
        <v>15</v>
      </c>
      <c r="R39" s="31"/>
      <c r="S39" s="31"/>
      <c r="T39" s="31"/>
      <c r="U39" s="51"/>
      <c r="V39" s="32"/>
      <c r="X39" s="14"/>
      <c r="Y39" s="10"/>
      <c r="Z39" s="14"/>
      <c r="AA39" s="14"/>
    </row>
    <row r="40" spans="2:27" ht="15.75" thickBot="1" x14ac:dyDescent="0.3">
      <c r="B40" s="67"/>
      <c r="D40" s="31"/>
      <c r="E40" s="31"/>
      <c r="F40" s="33">
        <v>6</v>
      </c>
      <c r="G40" s="31"/>
      <c r="H40" s="34">
        <v>7</v>
      </c>
      <c r="Q40" s="67"/>
      <c r="R40" s="31"/>
      <c r="S40" s="52"/>
      <c r="T40" s="33"/>
      <c r="U40" s="51"/>
      <c r="V40" s="34"/>
      <c r="X40" s="59"/>
      <c r="Y40" s="10"/>
      <c r="Z40" s="14"/>
      <c r="AA40" s="14"/>
    </row>
    <row r="41" spans="2:27" ht="15.75" thickBot="1" x14ac:dyDescent="0.3">
      <c r="B41" s="67"/>
      <c r="D41" s="31"/>
      <c r="E41" s="31"/>
      <c r="F41" s="31"/>
      <c r="G41" s="31"/>
      <c r="H41" s="35">
        <v>10</v>
      </c>
      <c r="Q41" s="67"/>
      <c r="R41" s="31"/>
      <c r="S41" s="31"/>
      <c r="T41" s="31"/>
      <c r="U41" s="51"/>
      <c r="V41" s="35"/>
      <c r="X41" s="14"/>
      <c r="Y41" s="10"/>
      <c r="Z41" s="14"/>
      <c r="AA41" s="14"/>
    </row>
    <row r="42" spans="2:27" ht="15.75" thickBot="1" x14ac:dyDescent="0.3">
      <c r="B42" s="67"/>
      <c r="D42" s="31"/>
      <c r="E42" s="31"/>
      <c r="F42" s="31"/>
      <c r="G42" s="31"/>
      <c r="H42" s="32">
        <v>4</v>
      </c>
      <c r="Q42" s="67"/>
      <c r="R42" s="31"/>
      <c r="S42" s="31"/>
      <c r="T42" s="31"/>
      <c r="U42" s="51"/>
      <c r="V42" s="32"/>
      <c r="X42" s="14"/>
      <c r="Y42" s="10"/>
      <c r="Z42" s="14"/>
      <c r="AA42" s="14"/>
    </row>
    <row r="43" spans="2:27" ht="15.75" thickBot="1" x14ac:dyDescent="0.3">
      <c r="B43" s="67"/>
      <c r="D43" s="33">
        <v>12</v>
      </c>
      <c r="E43" s="31"/>
      <c r="F43" s="33">
        <v>11</v>
      </c>
      <c r="G43" s="31"/>
      <c r="H43" s="34">
        <v>12</v>
      </c>
      <c r="Q43" s="67"/>
      <c r="R43" s="33"/>
      <c r="S43" s="52"/>
      <c r="T43" s="33"/>
      <c r="U43" s="51"/>
      <c r="V43" s="34"/>
      <c r="X43" s="61"/>
      <c r="Y43" s="10"/>
      <c r="Z43" s="63"/>
      <c r="AA43" s="14"/>
    </row>
    <row r="44" spans="2:27" ht="15.75" thickBot="1" x14ac:dyDescent="0.3">
      <c r="B44" s="67"/>
      <c r="D44" s="31"/>
      <c r="E44" s="31"/>
      <c r="F44" s="31"/>
      <c r="G44" s="31"/>
      <c r="H44" s="35">
        <v>26</v>
      </c>
      <c r="Q44" s="67"/>
      <c r="R44" s="31"/>
      <c r="S44" s="31"/>
      <c r="T44" s="31"/>
      <c r="U44" s="51"/>
      <c r="V44" s="35"/>
      <c r="X44" s="14"/>
      <c r="Y44" s="10"/>
      <c r="Z44" s="14"/>
      <c r="AA44" s="14"/>
    </row>
    <row r="45" spans="2:27" ht="15.75" thickBot="1" x14ac:dyDescent="0.3">
      <c r="B45" s="67"/>
      <c r="D45" s="31"/>
      <c r="E45" s="31"/>
      <c r="F45" s="31"/>
      <c r="G45" s="31"/>
      <c r="H45" s="32">
        <v>11</v>
      </c>
      <c r="Q45" s="67"/>
      <c r="R45" s="31"/>
      <c r="S45" s="31"/>
      <c r="T45" s="31"/>
      <c r="U45" s="51"/>
      <c r="V45" s="32"/>
      <c r="X45" s="14"/>
      <c r="Y45" s="10"/>
      <c r="Z45" s="14"/>
      <c r="AA45" s="14"/>
    </row>
    <row r="46" spans="2:27" ht="15.75" thickBot="1" x14ac:dyDescent="0.3">
      <c r="B46" s="67"/>
      <c r="D46" s="31"/>
      <c r="E46" s="31"/>
      <c r="F46" s="33">
        <v>20</v>
      </c>
      <c r="G46" s="31"/>
      <c r="H46" s="34">
        <v>19</v>
      </c>
      <c r="Q46" s="67"/>
      <c r="R46" s="31"/>
      <c r="S46" s="52"/>
      <c r="T46" s="33"/>
      <c r="U46" s="51"/>
      <c r="V46" s="34"/>
      <c r="X46" s="64"/>
      <c r="Y46" s="10"/>
      <c r="Z46" s="14"/>
      <c r="AA46" s="14"/>
    </row>
    <row r="47" spans="2:27" ht="15.75" thickBot="1" x14ac:dyDescent="0.3">
      <c r="B47" s="68"/>
      <c r="D47" s="31"/>
      <c r="E47" s="31"/>
      <c r="F47" s="31"/>
      <c r="G47" s="31"/>
      <c r="H47" s="35">
        <v>29</v>
      </c>
      <c r="Q47" s="68"/>
      <c r="R47" s="31"/>
      <c r="S47" s="31"/>
      <c r="T47" s="31"/>
      <c r="U47" s="51"/>
      <c r="V47" s="35"/>
      <c r="X47" s="15"/>
      <c r="Y47" s="11"/>
      <c r="Z47" s="15"/>
      <c r="AA47" s="15"/>
    </row>
    <row r="48" spans="2:27" x14ac:dyDescent="0.25">
      <c r="R48" s="25"/>
      <c r="S48" s="25"/>
      <c r="T48" s="25"/>
      <c r="U48" s="25"/>
      <c r="V48" s="25"/>
    </row>
    <row r="49" spans="2:22" x14ac:dyDescent="0.25">
      <c r="R49" s="58" t="s">
        <v>31</v>
      </c>
      <c r="S49" s="25"/>
      <c r="T49" s="25"/>
      <c r="U49" s="25"/>
      <c r="V49" s="25"/>
    </row>
    <row r="50" spans="2:22" x14ac:dyDescent="0.25">
      <c r="B50" s="3" t="s">
        <v>34</v>
      </c>
      <c r="J50" s="3" t="s">
        <v>24</v>
      </c>
      <c r="R50" s="58" t="s">
        <v>32</v>
      </c>
      <c r="S50" s="25"/>
      <c r="T50" s="25"/>
      <c r="U50" s="25"/>
      <c r="V50" s="25"/>
    </row>
    <row r="51" spans="2:22" ht="15.75" thickBot="1" x14ac:dyDescent="0.3">
      <c r="K51" s="25" t="s">
        <v>26</v>
      </c>
      <c r="L51" s="25" t="s">
        <v>27</v>
      </c>
      <c r="M51" s="25" t="s">
        <v>28</v>
      </c>
      <c r="N51" s="25" t="s">
        <v>30</v>
      </c>
      <c r="R51" s="25"/>
      <c r="S51" s="25"/>
      <c r="T51" s="25"/>
      <c r="U51" s="25"/>
      <c r="V51" s="25"/>
    </row>
    <row r="52" spans="2:22" ht="15.75" customHeight="1" thickBot="1" x14ac:dyDescent="0.3">
      <c r="B52" s="66" t="s">
        <v>4</v>
      </c>
      <c r="D52" s="36"/>
      <c r="E52" s="36"/>
      <c r="F52" s="36"/>
      <c r="G52" s="36"/>
      <c r="H52" s="37">
        <v>1</v>
      </c>
      <c r="J52" s="73" t="s">
        <v>9</v>
      </c>
      <c r="K52" s="74"/>
      <c r="L52" s="75"/>
      <c r="M52" s="76"/>
      <c r="N52" s="77"/>
      <c r="Q52" s="66" t="s">
        <v>14</v>
      </c>
      <c r="R52" s="36"/>
      <c r="S52" s="36"/>
      <c r="T52" s="36"/>
      <c r="U52" s="53"/>
      <c r="V52" s="37"/>
    </row>
    <row r="53" spans="2:22" ht="15.75" thickBot="1" x14ac:dyDescent="0.3">
      <c r="B53" s="67"/>
      <c r="D53" s="36"/>
      <c r="E53" s="36"/>
      <c r="F53" s="38"/>
      <c r="G53" s="36"/>
      <c r="H53" s="39">
        <v>0</v>
      </c>
      <c r="I53" s="7" t="s">
        <v>5</v>
      </c>
      <c r="J53" s="78" t="s">
        <v>10</v>
      </c>
      <c r="K53" s="79"/>
      <c r="L53" s="84"/>
      <c r="M53" s="85"/>
      <c r="N53" s="80"/>
      <c r="Q53" s="67"/>
      <c r="R53" s="36"/>
      <c r="S53" s="54"/>
      <c r="T53" s="41"/>
      <c r="U53" s="53"/>
      <c r="V53" s="39"/>
    </row>
    <row r="54" spans="2:22" ht="15.75" thickBot="1" x14ac:dyDescent="0.3">
      <c r="B54" s="67"/>
      <c r="D54" s="36"/>
      <c r="E54" s="36"/>
      <c r="F54" s="36"/>
      <c r="G54" s="36"/>
      <c r="H54" s="40">
        <v>0</v>
      </c>
      <c r="I54" s="7"/>
      <c r="J54" s="81" t="s">
        <v>11</v>
      </c>
      <c r="K54" s="82"/>
      <c r="L54" s="86"/>
      <c r="M54" s="87"/>
      <c r="N54" s="83"/>
      <c r="Q54" s="67"/>
      <c r="R54" s="36"/>
      <c r="S54" s="36"/>
      <c r="T54" s="36"/>
      <c r="U54" s="53"/>
      <c r="V54" s="40"/>
    </row>
    <row r="55" spans="2:22" ht="15.75" thickBot="1" x14ac:dyDescent="0.3">
      <c r="B55" s="67"/>
      <c r="D55" s="36"/>
      <c r="E55" s="36"/>
      <c r="F55" s="36"/>
      <c r="G55" s="36"/>
      <c r="H55" s="37">
        <v>1</v>
      </c>
      <c r="I55" s="7"/>
      <c r="J55" s="73" t="s">
        <v>9</v>
      </c>
      <c r="K55" s="74"/>
      <c r="L55" s="75"/>
      <c r="M55" s="76"/>
      <c r="N55" s="77"/>
      <c r="Q55" s="67"/>
      <c r="R55" s="36"/>
      <c r="S55" s="36"/>
      <c r="T55" s="36"/>
      <c r="U55" s="53"/>
      <c r="V55" s="37"/>
    </row>
    <row r="56" spans="2:22" ht="15.75" thickBot="1" x14ac:dyDescent="0.3">
      <c r="B56" s="67"/>
      <c r="D56" s="41"/>
      <c r="E56" s="36"/>
      <c r="F56" s="38"/>
      <c r="G56" s="36"/>
      <c r="H56" s="39">
        <v>0</v>
      </c>
      <c r="I56" s="7" t="s">
        <v>6</v>
      </c>
      <c r="J56" s="78" t="s">
        <v>10</v>
      </c>
      <c r="K56" s="79"/>
      <c r="L56" s="84"/>
      <c r="M56" s="85"/>
      <c r="N56" s="80"/>
      <c r="Q56" s="67"/>
      <c r="R56" s="41"/>
      <c r="S56" s="54"/>
      <c r="T56" s="41"/>
      <c r="U56" s="53"/>
      <c r="V56" s="39"/>
    </row>
    <row r="57" spans="2:22" ht="15.75" thickBot="1" x14ac:dyDescent="0.3">
      <c r="B57" s="67"/>
      <c r="D57" s="36"/>
      <c r="E57" s="36"/>
      <c r="F57" s="36"/>
      <c r="G57" s="36"/>
      <c r="H57" s="40">
        <v>0</v>
      </c>
      <c r="I57" s="7"/>
      <c r="J57" s="81" t="s">
        <v>11</v>
      </c>
      <c r="K57" s="82"/>
      <c r="L57" s="86"/>
      <c r="M57" s="87"/>
      <c r="N57" s="83"/>
      <c r="Q57" s="67"/>
      <c r="R57" s="36"/>
      <c r="S57" s="36"/>
      <c r="T57" s="36"/>
      <c r="U57" s="53"/>
      <c r="V57" s="40"/>
    </row>
    <row r="58" spans="2:22" ht="15.75" thickBot="1" x14ac:dyDescent="0.3">
      <c r="B58" s="67"/>
      <c r="D58" s="36"/>
      <c r="E58" s="36"/>
      <c r="F58" s="36"/>
      <c r="G58" s="36"/>
      <c r="H58" s="37">
        <v>1</v>
      </c>
      <c r="I58" s="7"/>
      <c r="J58" s="73" t="s">
        <v>9</v>
      </c>
      <c r="K58" s="74"/>
      <c r="L58" s="75"/>
      <c r="M58" s="76"/>
      <c r="N58" s="77"/>
      <c r="Q58" s="67"/>
      <c r="R58" s="36"/>
      <c r="S58" s="36"/>
      <c r="T58" s="36"/>
      <c r="U58" s="53"/>
      <c r="V58" s="37"/>
    </row>
    <row r="59" spans="2:22" ht="15.75" thickBot="1" x14ac:dyDescent="0.3">
      <c r="B59" s="67"/>
      <c r="D59" s="36"/>
      <c r="E59" s="36"/>
      <c r="F59" s="38"/>
      <c r="G59" s="36"/>
      <c r="H59" s="39">
        <v>0</v>
      </c>
      <c r="I59" s="7" t="s">
        <v>7</v>
      </c>
      <c r="J59" s="78" t="s">
        <v>10</v>
      </c>
      <c r="K59" s="79"/>
      <c r="L59" s="84"/>
      <c r="M59" s="85"/>
      <c r="N59" s="80"/>
      <c r="Q59" s="67"/>
      <c r="R59" s="36"/>
      <c r="S59" s="54"/>
      <c r="T59" s="41"/>
      <c r="U59" s="53"/>
      <c r="V59" s="39"/>
    </row>
    <row r="60" spans="2:22" ht="15.75" thickBot="1" x14ac:dyDescent="0.3">
      <c r="B60" s="68"/>
      <c r="D60" s="36"/>
      <c r="E60" s="36"/>
      <c r="F60" s="36"/>
      <c r="G60" s="36"/>
      <c r="H60" s="40">
        <v>0</v>
      </c>
      <c r="J60" s="81" t="s">
        <v>11</v>
      </c>
      <c r="K60" s="82"/>
      <c r="L60" s="86"/>
      <c r="M60" s="87"/>
      <c r="N60" s="83"/>
      <c r="Q60" s="68"/>
      <c r="R60" s="36"/>
      <c r="S60" s="36"/>
      <c r="T60" s="36"/>
      <c r="U60" s="53"/>
      <c r="V60" s="40"/>
    </row>
    <row r="61" spans="2:22" x14ac:dyDescent="0.25">
      <c r="R61" s="25"/>
      <c r="S61" s="25"/>
      <c r="T61" s="25"/>
      <c r="U61" s="25"/>
      <c r="V61" s="25"/>
    </row>
    <row r="62" spans="2:22" ht="15.75" thickBot="1" x14ac:dyDescent="0.3">
      <c r="R62" s="25"/>
      <c r="S62" s="25"/>
      <c r="T62" s="25"/>
      <c r="U62" s="25"/>
      <c r="V62" s="25"/>
    </row>
    <row r="63" spans="2:22" ht="15.75" customHeight="1" thickBot="1" x14ac:dyDescent="0.3">
      <c r="F63" s="25" t="s">
        <v>29</v>
      </c>
      <c r="G63" s="25" t="s">
        <v>27</v>
      </c>
      <c r="H63" s="25" t="s">
        <v>28</v>
      </c>
      <c r="I63" s="25" t="s">
        <v>30</v>
      </c>
      <c r="Q63" s="66" t="s">
        <v>4</v>
      </c>
      <c r="R63" s="36"/>
      <c r="S63" s="36"/>
      <c r="T63" s="36"/>
      <c r="U63" s="36"/>
      <c r="V63" s="55"/>
    </row>
    <row r="64" spans="2:22" ht="15.75" customHeight="1" thickBot="1" x14ac:dyDescent="0.3">
      <c r="E64" s="73" t="s">
        <v>9</v>
      </c>
      <c r="F64" s="74"/>
      <c r="G64" s="75"/>
      <c r="H64" s="76"/>
      <c r="I64" s="77"/>
      <c r="Q64" s="67"/>
      <c r="R64" s="36"/>
      <c r="S64" s="36"/>
      <c r="T64" s="41"/>
      <c r="U64" s="36"/>
      <c r="V64" s="56"/>
    </row>
    <row r="65" spans="4:22" ht="15.75" thickBot="1" x14ac:dyDescent="0.3">
      <c r="D65" s="7" t="s">
        <v>8</v>
      </c>
      <c r="E65" s="78" t="s">
        <v>10</v>
      </c>
      <c r="F65" s="79"/>
      <c r="G65" s="84"/>
      <c r="H65" s="85"/>
      <c r="I65" s="80"/>
      <c r="Q65" s="67"/>
      <c r="R65" s="36"/>
      <c r="S65" s="36"/>
      <c r="T65" s="36"/>
      <c r="U65" s="36"/>
      <c r="V65" s="57"/>
    </row>
    <row r="66" spans="4:22" ht="15.75" thickBot="1" x14ac:dyDescent="0.3">
      <c r="E66" s="81" t="s">
        <v>11</v>
      </c>
      <c r="F66" s="82"/>
      <c r="G66" s="86"/>
      <c r="H66" s="87"/>
      <c r="I66" s="83"/>
      <c r="Q66" s="67"/>
      <c r="R66" s="36"/>
      <c r="S66" s="36"/>
      <c r="T66" s="36"/>
      <c r="U66" s="36"/>
      <c r="V66" s="55"/>
    </row>
    <row r="67" spans="4:22" ht="15.75" thickBot="1" x14ac:dyDescent="0.3">
      <c r="Q67" s="67"/>
      <c r="R67" s="41"/>
      <c r="S67" s="36"/>
      <c r="T67" s="41"/>
      <c r="U67" s="36"/>
      <c r="V67" s="56"/>
    </row>
    <row r="68" spans="4:22" ht="15.75" thickBot="1" x14ac:dyDescent="0.3">
      <c r="Q68" s="67"/>
      <c r="R68" s="36"/>
      <c r="S68" s="36"/>
      <c r="T68" s="36"/>
      <c r="U68" s="36"/>
      <c r="V68" s="57"/>
    </row>
    <row r="69" spans="4:22" ht="15.75" thickBot="1" x14ac:dyDescent="0.3">
      <c r="Q69" s="67"/>
      <c r="R69" s="36"/>
      <c r="S69" s="36"/>
      <c r="T69" s="36"/>
      <c r="U69" s="36"/>
      <c r="V69" s="55"/>
    </row>
    <row r="70" spans="4:22" ht="15.75" thickBot="1" x14ac:dyDescent="0.3">
      <c r="Q70" s="67"/>
      <c r="R70" s="36"/>
      <c r="S70" s="36"/>
      <c r="T70" s="41"/>
      <c r="U70" s="36"/>
      <c r="V70" s="56"/>
    </row>
    <row r="71" spans="4:22" ht="15.75" thickBot="1" x14ac:dyDescent="0.3">
      <c r="Q71" s="68"/>
      <c r="R71" s="36"/>
      <c r="S71" s="36"/>
      <c r="T71" s="36"/>
      <c r="U71" s="36"/>
      <c r="V71" s="57"/>
    </row>
  </sheetData>
  <mergeCells count="12">
    <mergeCell ref="Q5:Q13"/>
    <mergeCell ref="X16:Y17"/>
    <mergeCell ref="Z16:AA17"/>
    <mergeCell ref="Q63:Q71"/>
    <mergeCell ref="B19:B27"/>
    <mergeCell ref="B29:B37"/>
    <mergeCell ref="B39:B47"/>
    <mergeCell ref="B52:B60"/>
    <mergeCell ref="Q19:Q27"/>
    <mergeCell ref="Q29:Q37"/>
    <mergeCell ref="Q39:Q47"/>
    <mergeCell ref="Q52:Q60"/>
  </mergeCells>
  <phoneticPr fontId="2" type="noConversion"/>
  <pageMargins left="0.75" right="0.75" top="1" bottom="1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Num0</vt:lpstr>
      <vt:lpstr>tipo</vt:lpstr>
    </vt:vector>
  </TitlesOfParts>
  <Company>Universidad Autónoma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Fernández Gallardo</dc:creator>
  <cp:lastModifiedBy>José María Contreras Beltrán</cp:lastModifiedBy>
  <dcterms:created xsi:type="dcterms:W3CDTF">2008-02-22T09:43:22Z</dcterms:created>
  <dcterms:modified xsi:type="dcterms:W3CDTF">2023-02-07T22:20:58Z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21d1a6a2-861e-4b10-9b30-b7713f0846ca</vt:lpwstr>
  </property>
</Properties>
</file>