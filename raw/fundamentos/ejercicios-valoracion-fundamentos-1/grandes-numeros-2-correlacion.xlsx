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1\"/>
    </mc:Choice>
  </mc:AlternateContent>
  <bookViews>
    <workbookView xWindow="285" yWindow="45" windowWidth="19500" windowHeight="9990"/>
  </bookViews>
  <sheets>
    <sheet name="Hoja1" sheetId="1" r:id="rId1"/>
  </sheets>
  <definedNames>
    <definedName name="epsilon">Hoja1!$N$9</definedName>
    <definedName name="N">Hoja1!$I$11</definedName>
    <definedName name="numsims">Hoja1!$T$14</definedName>
    <definedName name="p">Hoja1!$D$2</definedName>
    <definedName name="rho">Hoja1!$D$3</definedName>
    <definedName name="sigma">Hoja1!$I$15</definedName>
    <definedName name="sims">Hoja1!$L$12:$L$1011</definedName>
  </definedNames>
  <calcPr calcId="162913" calcMode="autoNoTable"/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T14" i="1" l="1"/>
  <c r="T16" i="1"/>
  <c r="S16" i="1"/>
  <c r="L7" i="1"/>
  <c r="L6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I15" i="1"/>
  <c r="D236" i="1" l="1"/>
  <c r="F236" i="1" s="1"/>
  <c r="T46" i="1"/>
  <c r="T50" i="1"/>
  <c r="T54" i="1"/>
  <c r="T58" i="1"/>
  <c r="T78" i="1"/>
  <c r="T43" i="1"/>
  <c r="T47" i="1"/>
  <c r="T51" i="1"/>
  <c r="T71" i="1"/>
  <c r="T75" i="1"/>
  <c r="T44" i="1"/>
  <c r="T48" i="1"/>
  <c r="T68" i="1"/>
  <c r="T72" i="1"/>
  <c r="T76" i="1"/>
  <c r="T41" i="1"/>
  <c r="T61" i="1"/>
  <c r="T65" i="1"/>
  <c r="T69" i="1"/>
  <c r="T73" i="1"/>
  <c r="S21" i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T80" i="1" s="1"/>
  <c r="D202" i="1"/>
  <c r="F202" i="1" s="1"/>
  <c r="T20" i="1"/>
  <c r="U20" i="1" s="1"/>
  <c r="D216" i="1"/>
  <c r="F216" i="1" s="1"/>
  <c r="D52" i="1"/>
  <c r="F52" i="1" s="1"/>
  <c r="D24" i="1"/>
  <c r="F24" i="1" s="1"/>
  <c r="D72" i="1"/>
  <c r="F72" i="1" s="1"/>
  <c r="D280" i="1"/>
  <c r="F280" i="1" s="1"/>
  <c r="D136" i="1"/>
  <c r="F136" i="1" s="1"/>
  <c r="D108" i="1"/>
  <c r="F108" i="1" s="1"/>
  <c r="D278" i="1"/>
  <c r="F278" i="1" s="1"/>
  <c r="D266" i="1"/>
  <c r="F266" i="1" s="1"/>
  <c r="D262" i="1"/>
  <c r="F262" i="1" s="1"/>
  <c r="D230" i="1"/>
  <c r="F230" i="1" s="1"/>
  <c r="D190" i="1"/>
  <c r="F190" i="1" s="1"/>
  <c r="D162" i="1"/>
  <c r="F162" i="1" s="1"/>
  <c r="D154" i="1"/>
  <c r="F154" i="1" s="1"/>
  <c r="D138" i="1"/>
  <c r="F138" i="1" s="1"/>
  <c r="D98" i="1"/>
  <c r="F98" i="1" s="1"/>
  <c r="D82" i="1"/>
  <c r="F82" i="1" s="1"/>
  <c r="D66" i="1"/>
  <c r="F66" i="1" s="1"/>
  <c r="D58" i="1"/>
  <c r="F58" i="1" s="1"/>
  <c r="D100" i="1"/>
  <c r="F100" i="1" s="1"/>
  <c r="D164" i="1"/>
  <c r="F164" i="1" s="1"/>
  <c r="D62" i="1"/>
  <c r="F62" i="1" s="1"/>
  <c r="D220" i="1"/>
  <c r="F220" i="1" s="1"/>
  <c r="D200" i="1"/>
  <c r="F200" i="1" s="1"/>
  <c r="D264" i="1"/>
  <c r="F264" i="1" s="1"/>
  <c r="D132" i="1"/>
  <c r="F132" i="1" s="1"/>
  <c r="D22" i="1"/>
  <c r="F22" i="1" s="1"/>
  <c r="D116" i="1"/>
  <c r="F116" i="1" s="1"/>
  <c r="D234" i="1"/>
  <c r="F234" i="1" s="1"/>
  <c r="D172" i="1"/>
  <c r="F172" i="1" s="1"/>
  <c r="D272" i="1"/>
  <c r="F272" i="1" s="1"/>
  <c r="D76" i="1"/>
  <c r="F76" i="1" s="1"/>
  <c r="D156" i="1"/>
  <c r="F156" i="1" s="1"/>
  <c r="D284" i="1"/>
  <c r="F284" i="1" s="1"/>
  <c r="D305" i="1"/>
  <c r="F305" i="1" s="1"/>
  <c r="D301" i="1"/>
  <c r="F301" i="1" s="1"/>
  <c r="D297" i="1"/>
  <c r="F297" i="1" s="1"/>
  <c r="D293" i="1"/>
  <c r="F293" i="1" s="1"/>
  <c r="D289" i="1"/>
  <c r="F289" i="1" s="1"/>
  <c r="D285" i="1"/>
  <c r="F285" i="1" s="1"/>
  <c r="D281" i="1"/>
  <c r="F281" i="1" s="1"/>
  <c r="D277" i="1"/>
  <c r="F277" i="1" s="1"/>
  <c r="D273" i="1"/>
  <c r="F273" i="1" s="1"/>
  <c r="D269" i="1"/>
  <c r="F269" i="1" s="1"/>
  <c r="D265" i="1"/>
  <c r="F265" i="1" s="1"/>
  <c r="D257" i="1"/>
  <c r="F257" i="1" s="1"/>
  <c r="D253" i="1"/>
  <c r="F253" i="1" s="1"/>
  <c r="D249" i="1"/>
  <c r="F249" i="1" s="1"/>
  <c r="D245" i="1"/>
  <c r="F245" i="1" s="1"/>
  <c r="D241" i="1"/>
  <c r="F241" i="1" s="1"/>
  <c r="D237" i="1"/>
  <c r="F237" i="1" s="1"/>
  <c r="D233" i="1"/>
  <c r="F233" i="1" s="1"/>
  <c r="D229" i="1"/>
  <c r="F229" i="1" s="1"/>
  <c r="D225" i="1"/>
  <c r="F225" i="1" s="1"/>
  <c r="D221" i="1"/>
  <c r="F221" i="1" s="1"/>
  <c r="D217" i="1"/>
  <c r="F217" i="1" s="1"/>
  <c r="D213" i="1"/>
  <c r="F213" i="1" s="1"/>
  <c r="D209" i="1"/>
  <c r="F209" i="1" s="1"/>
  <c r="D205" i="1"/>
  <c r="F205" i="1" s="1"/>
  <c r="D201" i="1"/>
  <c r="F201" i="1" s="1"/>
  <c r="D197" i="1"/>
  <c r="F197" i="1" s="1"/>
  <c r="D193" i="1"/>
  <c r="F193" i="1" s="1"/>
  <c r="D189" i="1"/>
  <c r="F189" i="1" s="1"/>
  <c r="D185" i="1"/>
  <c r="F185" i="1" s="1"/>
  <c r="D181" i="1"/>
  <c r="F181" i="1" s="1"/>
  <c r="D177" i="1"/>
  <c r="F177" i="1" s="1"/>
  <c r="D173" i="1"/>
  <c r="F173" i="1" s="1"/>
  <c r="D169" i="1"/>
  <c r="F169" i="1" s="1"/>
  <c r="D165" i="1"/>
  <c r="F165" i="1" s="1"/>
  <c r="D161" i="1"/>
  <c r="F161" i="1" s="1"/>
  <c r="D157" i="1"/>
  <c r="F157" i="1" s="1"/>
  <c r="D153" i="1"/>
  <c r="F153" i="1" s="1"/>
  <c r="D149" i="1"/>
  <c r="F149" i="1" s="1"/>
  <c r="D145" i="1"/>
  <c r="F145" i="1" s="1"/>
  <c r="D141" i="1"/>
  <c r="F141" i="1" s="1"/>
  <c r="D137" i="1"/>
  <c r="F137" i="1" s="1"/>
  <c r="D133" i="1"/>
  <c r="F133" i="1" s="1"/>
  <c r="D129" i="1"/>
  <c r="F129" i="1" s="1"/>
  <c r="D125" i="1"/>
  <c r="F125" i="1" s="1"/>
  <c r="D121" i="1"/>
  <c r="F121" i="1" s="1"/>
  <c r="D117" i="1"/>
  <c r="F117" i="1" s="1"/>
  <c r="D113" i="1"/>
  <c r="F113" i="1" s="1"/>
  <c r="D109" i="1"/>
  <c r="F109" i="1" s="1"/>
  <c r="D105" i="1"/>
  <c r="F105" i="1" s="1"/>
  <c r="D101" i="1"/>
  <c r="F101" i="1" s="1"/>
  <c r="D97" i="1"/>
  <c r="F97" i="1" s="1"/>
  <c r="D93" i="1"/>
  <c r="F93" i="1" s="1"/>
  <c r="D89" i="1"/>
  <c r="F89" i="1" s="1"/>
  <c r="D85" i="1"/>
  <c r="F85" i="1" s="1"/>
  <c r="D81" i="1"/>
  <c r="F81" i="1" s="1"/>
  <c r="D77" i="1"/>
  <c r="F77" i="1" s="1"/>
  <c r="D73" i="1"/>
  <c r="F73" i="1" s="1"/>
  <c r="D69" i="1"/>
  <c r="F69" i="1" s="1"/>
  <c r="D65" i="1"/>
  <c r="F65" i="1" s="1"/>
  <c r="D61" i="1"/>
  <c r="F61" i="1" s="1"/>
  <c r="D57" i="1"/>
  <c r="F57" i="1" s="1"/>
  <c r="D53" i="1"/>
  <c r="F53" i="1" s="1"/>
  <c r="D49" i="1"/>
  <c r="F49" i="1" s="1"/>
  <c r="D45" i="1"/>
  <c r="F45" i="1" s="1"/>
  <c r="D41" i="1"/>
  <c r="F41" i="1" s="1"/>
  <c r="D37" i="1"/>
  <c r="F37" i="1" s="1"/>
  <c r="D33" i="1"/>
  <c r="F33" i="1" s="1"/>
  <c r="D29" i="1"/>
  <c r="F29" i="1" s="1"/>
  <c r="D25" i="1"/>
  <c r="F25" i="1" s="1"/>
  <c r="D21" i="1"/>
  <c r="F21" i="1" s="1"/>
  <c r="D17" i="1"/>
  <c r="F17" i="1" s="1"/>
  <c r="D13" i="1"/>
  <c r="F13" i="1" s="1"/>
  <c r="D96" i="1"/>
  <c r="F96" i="1" s="1"/>
  <c r="D170" i="1"/>
  <c r="F170" i="1" s="1"/>
  <c r="D64" i="1"/>
  <c r="F64" i="1" s="1"/>
  <c r="D244" i="1"/>
  <c r="F244" i="1" s="1"/>
  <c r="D128" i="1"/>
  <c r="F128" i="1" s="1"/>
  <c r="D14" i="1"/>
  <c r="F14" i="1" s="1"/>
  <c r="D12" i="1"/>
  <c r="F12" i="1" s="1"/>
  <c r="D292" i="1"/>
  <c r="F292" i="1" s="1"/>
  <c r="D228" i="1"/>
  <c r="F228" i="1" s="1"/>
  <c r="D212" i="1"/>
  <c r="F212" i="1" s="1"/>
  <c r="D184" i="1"/>
  <c r="F184" i="1" s="1"/>
  <c r="D294" i="1"/>
  <c r="F294" i="1" s="1"/>
  <c r="D258" i="1"/>
  <c r="F258" i="1" s="1"/>
  <c r="D218" i="1"/>
  <c r="F218" i="1" s="1"/>
  <c r="D194" i="1"/>
  <c r="F194" i="1" s="1"/>
  <c r="D148" i="1"/>
  <c r="F148" i="1" s="1"/>
  <c r="D124" i="1"/>
  <c r="F124" i="1" s="1"/>
  <c r="D104" i="1"/>
  <c r="F104" i="1" s="1"/>
  <c r="D56" i="1"/>
  <c r="F56" i="1" s="1"/>
  <c r="D146" i="1"/>
  <c r="F146" i="1" s="1"/>
  <c r="D122" i="1"/>
  <c r="F122" i="1" s="1"/>
  <c r="D16" i="1"/>
  <c r="F16" i="1" s="1"/>
  <c r="D68" i="1"/>
  <c r="F68" i="1" s="1"/>
  <c r="D176" i="1"/>
  <c r="F176" i="1" s="1"/>
  <c r="D304" i="1"/>
  <c r="F304" i="1" s="1"/>
  <c r="D288" i="1"/>
  <c r="F288" i="1" s="1"/>
  <c r="D256" i="1"/>
  <c r="F256" i="1" s="1"/>
  <c r="D224" i="1"/>
  <c r="F224" i="1" s="1"/>
  <c r="D208" i="1"/>
  <c r="F208" i="1" s="1"/>
  <c r="D32" i="1"/>
  <c r="F32" i="1" s="1"/>
  <c r="D88" i="1"/>
  <c r="F88" i="1" s="1"/>
  <c r="D102" i="1"/>
  <c r="F102" i="1" s="1"/>
  <c r="D140" i="1"/>
  <c r="F140" i="1" s="1"/>
  <c r="D180" i="1"/>
  <c r="F180" i="1" s="1"/>
  <c r="D204" i="1"/>
  <c r="F204" i="1" s="1"/>
  <c r="D242" i="1"/>
  <c r="F242" i="1" s="1"/>
  <c r="D270" i="1"/>
  <c r="F270" i="1" s="1"/>
  <c r="D18" i="1"/>
  <c r="F18" i="1" s="1"/>
  <c r="D40" i="1"/>
  <c r="F40" i="1" s="1"/>
  <c r="D114" i="1"/>
  <c r="F114" i="1" s="1"/>
  <c r="D178" i="1"/>
  <c r="F178" i="1" s="1"/>
  <c r="D232" i="1"/>
  <c r="F232" i="1" s="1"/>
  <c r="D260" i="1"/>
  <c r="F260" i="1" s="1"/>
  <c r="D268" i="1"/>
  <c r="F268" i="1" s="1"/>
  <c r="D276" i="1"/>
  <c r="F276" i="1" s="1"/>
  <c r="D28" i="1"/>
  <c r="F28" i="1" s="1"/>
  <c r="D80" i="1"/>
  <c r="F80" i="1" s="1"/>
  <c r="D48" i="1"/>
  <c r="F48" i="1" s="1"/>
  <c r="D130" i="1"/>
  <c r="F130" i="1" s="1"/>
  <c r="D168" i="1"/>
  <c r="F168" i="1" s="1"/>
  <c r="D36" i="1"/>
  <c r="F36" i="1" s="1"/>
  <c r="D120" i="1"/>
  <c r="F120" i="1" s="1"/>
  <c r="D144" i="1"/>
  <c r="F144" i="1" s="1"/>
  <c r="D192" i="1"/>
  <c r="F192" i="1" s="1"/>
  <c r="D238" i="1"/>
  <c r="F238" i="1" s="1"/>
  <c r="D296" i="1"/>
  <c r="F296" i="1" s="1"/>
  <c r="D42" i="1"/>
  <c r="F42" i="1" s="1"/>
  <c r="D92" i="1"/>
  <c r="F92" i="1" s="1"/>
  <c r="D112" i="1"/>
  <c r="F112" i="1" s="1"/>
  <c r="D158" i="1"/>
  <c r="F158" i="1" s="1"/>
  <c r="D186" i="1"/>
  <c r="F186" i="1" s="1"/>
  <c r="D222" i="1"/>
  <c r="F222" i="1" s="1"/>
  <c r="D252" i="1"/>
  <c r="F252" i="1" s="1"/>
  <c r="D274" i="1"/>
  <c r="F274" i="1" s="1"/>
  <c r="D20" i="1"/>
  <c r="F20" i="1" s="1"/>
  <c r="D44" i="1"/>
  <c r="F44" i="1" s="1"/>
  <c r="D90" i="1"/>
  <c r="F90" i="1" s="1"/>
  <c r="D160" i="1"/>
  <c r="F160" i="1" s="1"/>
  <c r="D188" i="1"/>
  <c r="F188" i="1" s="1"/>
  <c r="D240" i="1"/>
  <c r="F240" i="1" s="1"/>
  <c r="D46" i="1"/>
  <c r="F46" i="1" s="1"/>
  <c r="D84" i="1"/>
  <c r="F84" i="1" s="1"/>
  <c r="D261" i="1"/>
  <c r="F261" i="1" s="1"/>
  <c r="D106" i="1"/>
  <c r="F106" i="1" s="1"/>
  <c r="D38" i="1"/>
  <c r="F38" i="1" s="1"/>
  <c r="D60" i="1"/>
  <c r="F60" i="1" s="1"/>
  <c r="D152" i="1"/>
  <c r="F152" i="1" s="1"/>
  <c r="D210" i="1"/>
  <c r="F210" i="1" s="1"/>
  <c r="D286" i="1"/>
  <c r="F286" i="1" s="1"/>
  <c r="D196" i="1"/>
  <c r="F196" i="1" s="1"/>
  <c r="D248" i="1"/>
  <c r="F248" i="1" s="1"/>
  <c r="D300" i="1"/>
  <c r="F300" i="1" s="1"/>
  <c r="D307" i="1"/>
  <c r="F307" i="1" s="1"/>
  <c r="D303" i="1"/>
  <c r="F303" i="1" s="1"/>
  <c r="D299" i="1"/>
  <c r="F299" i="1" s="1"/>
  <c r="D295" i="1"/>
  <c r="F295" i="1" s="1"/>
  <c r="D291" i="1"/>
  <c r="F291" i="1" s="1"/>
  <c r="D287" i="1"/>
  <c r="F287" i="1" s="1"/>
  <c r="D283" i="1"/>
  <c r="F283" i="1" s="1"/>
  <c r="D279" i="1"/>
  <c r="F279" i="1" s="1"/>
  <c r="D275" i="1"/>
  <c r="F275" i="1" s="1"/>
  <c r="D271" i="1"/>
  <c r="F271" i="1" s="1"/>
  <c r="D267" i="1"/>
  <c r="F267" i="1" s="1"/>
  <c r="D263" i="1"/>
  <c r="F263" i="1" s="1"/>
  <c r="D259" i="1"/>
  <c r="F259" i="1" s="1"/>
  <c r="D255" i="1"/>
  <c r="F255" i="1" s="1"/>
  <c r="D251" i="1"/>
  <c r="F251" i="1" s="1"/>
  <c r="D247" i="1"/>
  <c r="F247" i="1" s="1"/>
  <c r="D243" i="1"/>
  <c r="F243" i="1" s="1"/>
  <c r="D239" i="1"/>
  <c r="F239" i="1" s="1"/>
  <c r="D235" i="1"/>
  <c r="F235" i="1" s="1"/>
  <c r="D231" i="1"/>
  <c r="F231" i="1" s="1"/>
  <c r="D227" i="1"/>
  <c r="F227" i="1" s="1"/>
  <c r="D223" i="1"/>
  <c r="F223" i="1" s="1"/>
  <c r="D219" i="1"/>
  <c r="F219" i="1" s="1"/>
  <c r="D215" i="1"/>
  <c r="F215" i="1" s="1"/>
  <c r="D211" i="1"/>
  <c r="F211" i="1" s="1"/>
  <c r="D207" i="1"/>
  <c r="F207" i="1" s="1"/>
  <c r="D203" i="1"/>
  <c r="F203" i="1" s="1"/>
  <c r="D199" i="1"/>
  <c r="F199" i="1" s="1"/>
  <c r="D195" i="1"/>
  <c r="F195" i="1" s="1"/>
  <c r="D191" i="1"/>
  <c r="F191" i="1" s="1"/>
  <c r="D187" i="1"/>
  <c r="F187" i="1" s="1"/>
  <c r="D183" i="1"/>
  <c r="F183" i="1" s="1"/>
  <c r="D179" i="1"/>
  <c r="F179" i="1" s="1"/>
  <c r="D175" i="1"/>
  <c r="F175" i="1" s="1"/>
  <c r="D171" i="1"/>
  <c r="F171" i="1" s="1"/>
  <c r="D167" i="1"/>
  <c r="F167" i="1" s="1"/>
  <c r="D163" i="1"/>
  <c r="F163" i="1" s="1"/>
  <c r="D159" i="1"/>
  <c r="F159" i="1" s="1"/>
  <c r="D155" i="1"/>
  <c r="F155" i="1" s="1"/>
  <c r="D151" i="1"/>
  <c r="F151" i="1" s="1"/>
  <c r="D147" i="1"/>
  <c r="F147" i="1" s="1"/>
  <c r="D143" i="1"/>
  <c r="F143" i="1" s="1"/>
  <c r="D139" i="1"/>
  <c r="F139" i="1" s="1"/>
  <c r="D135" i="1"/>
  <c r="F135" i="1" s="1"/>
  <c r="D131" i="1"/>
  <c r="F131" i="1" s="1"/>
  <c r="D127" i="1"/>
  <c r="F127" i="1" s="1"/>
  <c r="D123" i="1"/>
  <c r="F123" i="1" s="1"/>
  <c r="D119" i="1"/>
  <c r="F119" i="1" s="1"/>
  <c r="D115" i="1"/>
  <c r="F115" i="1" s="1"/>
  <c r="D111" i="1"/>
  <c r="F111" i="1" s="1"/>
  <c r="D107" i="1"/>
  <c r="F107" i="1" s="1"/>
  <c r="D103" i="1"/>
  <c r="F103" i="1" s="1"/>
  <c r="D99" i="1"/>
  <c r="F99" i="1" s="1"/>
  <c r="D95" i="1"/>
  <c r="F95" i="1" s="1"/>
  <c r="D91" i="1"/>
  <c r="F91" i="1" s="1"/>
  <c r="D87" i="1"/>
  <c r="F87" i="1" s="1"/>
  <c r="D83" i="1"/>
  <c r="F83" i="1" s="1"/>
  <c r="D79" i="1"/>
  <c r="F79" i="1" s="1"/>
  <c r="D75" i="1"/>
  <c r="F75" i="1" s="1"/>
  <c r="D71" i="1"/>
  <c r="F71" i="1" s="1"/>
  <c r="D67" i="1"/>
  <c r="F67" i="1" s="1"/>
  <c r="D63" i="1"/>
  <c r="F63" i="1" s="1"/>
  <c r="D59" i="1"/>
  <c r="F59" i="1" s="1"/>
  <c r="D55" i="1"/>
  <c r="F55" i="1" s="1"/>
  <c r="D51" i="1"/>
  <c r="F51" i="1" s="1"/>
  <c r="D47" i="1"/>
  <c r="F47" i="1" s="1"/>
  <c r="D43" i="1"/>
  <c r="F43" i="1" s="1"/>
  <c r="D39" i="1"/>
  <c r="F39" i="1" s="1"/>
  <c r="D35" i="1"/>
  <c r="F35" i="1" s="1"/>
  <c r="D31" i="1"/>
  <c r="F31" i="1" s="1"/>
  <c r="D27" i="1"/>
  <c r="F27" i="1" s="1"/>
  <c r="D23" i="1"/>
  <c r="F23" i="1" s="1"/>
  <c r="D19" i="1"/>
  <c r="F19" i="1" s="1"/>
  <c r="D15" i="1"/>
  <c r="F15" i="1" s="1"/>
  <c r="D306" i="1"/>
  <c r="F306" i="1" s="1"/>
  <c r="D302" i="1"/>
  <c r="F302" i="1" s="1"/>
  <c r="D298" i="1"/>
  <c r="F298" i="1" s="1"/>
  <c r="D290" i="1"/>
  <c r="F290" i="1" s="1"/>
  <c r="D282" i="1"/>
  <c r="F282" i="1" s="1"/>
  <c r="D254" i="1"/>
  <c r="F254" i="1" s="1"/>
  <c r="D250" i="1"/>
  <c r="F250" i="1" s="1"/>
  <c r="D246" i="1"/>
  <c r="F246" i="1" s="1"/>
  <c r="D226" i="1"/>
  <c r="F226" i="1" s="1"/>
  <c r="D214" i="1"/>
  <c r="F214" i="1" s="1"/>
  <c r="D206" i="1"/>
  <c r="F206" i="1" s="1"/>
  <c r="D198" i="1"/>
  <c r="F198" i="1" s="1"/>
  <c r="D182" i="1"/>
  <c r="F182" i="1" s="1"/>
  <c r="D174" i="1"/>
  <c r="F174" i="1" s="1"/>
  <c r="D166" i="1"/>
  <c r="F166" i="1" s="1"/>
  <c r="D150" i="1"/>
  <c r="F150" i="1" s="1"/>
  <c r="D142" i="1"/>
  <c r="F142" i="1" s="1"/>
  <c r="D134" i="1"/>
  <c r="F134" i="1" s="1"/>
  <c r="D126" i="1"/>
  <c r="F126" i="1" s="1"/>
  <c r="D118" i="1"/>
  <c r="F118" i="1" s="1"/>
  <c r="D110" i="1"/>
  <c r="F110" i="1" s="1"/>
  <c r="D94" i="1"/>
  <c r="F94" i="1" s="1"/>
  <c r="D86" i="1"/>
  <c r="F86" i="1" s="1"/>
  <c r="D78" i="1"/>
  <c r="F78" i="1" s="1"/>
  <c r="D74" i="1"/>
  <c r="F74" i="1" s="1"/>
  <c r="D70" i="1"/>
  <c r="F70" i="1" s="1"/>
  <c r="D54" i="1"/>
  <c r="F54" i="1" s="1"/>
  <c r="D50" i="1"/>
  <c r="F50" i="1" s="1"/>
  <c r="D34" i="1"/>
  <c r="F34" i="1" s="1"/>
  <c r="D30" i="1"/>
  <c r="F30" i="1" s="1"/>
  <c r="D26" i="1"/>
  <c r="F26" i="1" s="1"/>
  <c r="T57" i="1" l="1"/>
  <c r="T64" i="1"/>
  <c r="T67" i="1"/>
  <c r="T74" i="1"/>
  <c r="U74" i="1" s="1"/>
  <c r="T42" i="1"/>
  <c r="U43" i="1" s="1"/>
  <c r="T53" i="1"/>
  <c r="U54" i="1" s="1"/>
  <c r="T60" i="1"/>
  <c r="U61" i="1" s="1"/>
  <c r="T63" i="1"/>
  <c r="U64" i="1" s="1"/>
  <c r="T70" i="1"/>
  <c r="U71" i="1" s="1"/>
  <c r="T49" i="1"/>
  <c r="U50" i="1" s="1"/>
  <c r="T56" i="1"/>
  <c r="T59" i="1"/>
  <c r="U59" i="1" s="1"/>
  <c r="T66" i="1"/>
  <c r="U66" i="1" s="1"/>
  <c r="T77" i="1"/>
  <c r="U77" i="1" s="1"/>
  <c r="T45" i="1"/>
  <c r="U45" i="1" s="1"/>
  <c r="T52" i="1"/>
  <c r="U52" i="1" s="1"/>
  <c r="T55" i="1"/>
  <c r="U55" i="1" s="1"/>
  <c r="T62" i="1"/>
  <c r="T79" i="1"/>
  <c r="U79" i="1" s="1"/>
  <c r="I11" i="1"/>
  <c r="U73" i="1"/>
  <c r="U51" i="1"/>
  <c r="U69" i="1"/>
  <c r="U47" i="1"/>
  <c r="U65" i="1"/>
  <c r="U72" i="1"/>
  <c r="U48" i="1"/>
  <c r="U58" i="1"/>
  <c r="U76" i="1"/>
  <c r="U44" i="1"/>
  <c r="U68" i="1"/>
  <c r="T21" i="1"/>
  <c r="U21" i="1" s="1"/>
  <c r="U49" i="1" l="1"/>
  <c r="U57" i="1"/>
  <c r="U75" i="1"/>
  <c r="U42" i="1"/>
  <c r="U63" i="1"/>
  <c r="I12" i="1"/>
  <c r="L11" i="1" s="1"/>
  <c r="I14" i="1"/>
  <c r="U46" i="1"/>
  <c r="U70" i="1"/>
  <c r="U56" i="1"/>
  <c r="U78" i="1"/>
  <c r="U60" i="1"/>
  <c r="U80" i="1"/>
  <c r="U67" i="1"/>
  <c r="U53" i="1"/>
  <c r="U62" i="1"/>
  <c r="Q13" i="1"/>
  <c r="T22" i="1"/>
  <c r="U22" i="1" s="1"/>
  <c r="M233" i="1" l="1"/>
  <c r="N226" i="1"/>
  <c r="M192" i="1"/>
  <c r="N359" i="1"/>
  <c r="M216" i="1"/>
  <c r="M950" i="1"/>
  <c r="N32" i="1"/>
  <c r="M592" i="1"/>
  <c r="N613" i="1"/>
  <c r="N461" i="1"/>
  <c r="N301" i="1"/>
  <c r="N109" i="1"/>
  <c r="M256" i="1"/>
  <c r="M627" i="1"/>
  <c r="M408" i="1"/>
  <c r="M143" i="1"/>
  <c r="M328" i="1"/>
  <c r="M541" i="1"/>
  <c r="M43" i="1"/>
  <c r="N477" i="1"/>
  <c r="N285" i="1"/>
  <c r="N125" i="1"/>
  <c r="M639" i="1"/>
  <c r="N98" i="1"/>
  <c r="M120" i="1"/>
  <c r="M72" i="1"/>
  <c r="N589" i="1"/>
  <c r="N277" i="1"/>
  <c r="M38" i="1"/>
  <c r="M235" i="1"/>
  <c r="M193" i="1"/>
  <c r="M557" i="1"/>
  <c r="N617" i="1"/>
  <c r="N489" i="1"/>
  <c r="N361" i="1"/>
  <c r="N233" i="1"/>
  <c r="N113" i="1"/>
  <c r="M18" i="1"/>
  <c r="M379" i="1"/>
  <c r="M142" i="1"/>
  <c r="N128" i="1"/>
  <c r="M608" i="1"/>
  <c r="N755" i="1"/>
  <c r="M488" i="1"/>
  <c r="M368" i="1"/>
  <c r="N421" i="1"/>
  <c r="N77" i="1"/>
  <c r="N432" i="1"/>
  <c r="N67" i="1"/>
  <c r="N793" i="1"/>
  <c r="N569" i="1"/>
  <c r="N401" i="1"/>
  <c r="N225" i="1"/>
  <c r="N65" i="1"/>
  <c r="M455" i="1"/>
  <c r="N108" i="1"/>
  <c r="N694" i="1"/>
  <c r="M628" i="1"/>
  <c r="M500" i="1"/>
  <c r="M372" i="1"/>
  <c r="M244" i="1"/>
  <c r="M116" i="1"/>
  <c r="M619" i="1"/>
  <c r="N312" i="1"/>
  <c r="M65" i="1"/>
  <c r="N328" i="1"/>
  <c r="N435" i="1"/>
  <c r="N598" i="1"/>
  <c r="M407" i="1"/>
  <c r="M57" i="1"/>
  <c r="M416" i="1"/>
  <c r="N412" i="1"/>
  <c r="M617" i="1"/>
  <c r="O617" i="1" s="1"/>
  <c r="N642" i="1"/>
  <c r="M520" i="1"/>
  <c r="N450" i="1"/>
  <c r="M336" i="1"/>
  <c r="N581" i="1"/>
  <c r="N429" i="1"/>
  <c r="N237" i="1"/>
  <c r="M594" i="1"/>
  <c r="N176" i="1"/>
  <c r="N52" i="1"/>
  <c r="M280" i="1"/>
  <c r="M306" i="1"/>
  <c r="M104" i="1"/>
  <c r="M506" i="1"/>
  <c r="N629" i="1"/>
  <c r="N413" i="1"/>
  <c r="N253" i="1"/>
  <c r="N93" i="1"/>
  <c r="M160" i="1"/>
  <c r="M542" i="1"/>
  <c r="N419" i="1"/>
  <c r="N743" i="1"/>
  <c r="N533" i="1"/>
  <c r="N213" i="1"/>
  <c r="N534" i="1"/>
  <c r="M102" i="1"/>
  <c r="N363" i="1"/>
  <c r="N684" i="1"/>
  <c r="N585" i="1"/>
  <c r="N457" i="1"/>
  <c r="N329" i="1"/>
  <c r="N201" i="1"/>
  <c r="N81" i="1"/>
  <c r="M601" i="1"/>
  <c r="M307" i="1"/>
  <c r="N167" i="1"/>
  <c r="M382" i="1"/>
  <c r="M502" i="1"/>
  <c r="M312" i="1"/>
  <c r="M200" i="1"/>
  <c r="M80" i="1"/>
  <c r="N325" i="1"/>
  <c r="M54" i="1"/>
  <c r="M330" i="1"/>
  <c r="N230" i="1"/>
  <c r="M983" i="1"/>
  <c r="N529" i="1"/>
  <c r="N353" i="1"/>
  <c r="N185" i="1"/>
  <c r="M13" i="1"/>
  <c r="N355" i="1"/>
  <c r="M49" i="1"/>
  <c r="N79" i="1"/>
  <c r="M596" i="1"/>
  <c r="M468" i="1"/>
  <c r="M340" i="1"/>
  <c r="M212" i="1"/>
  <c r="M84" i="1"/>
  <c r="N524" i="1"/>
  <c r="N232" i="1"/>
  <c r="N147" i="1"/>
  <c r="M663" i="1"/>
  <c r="N311" i="1"/>
  <c r="M563" i="1"/>
  <c r="N368" i="1"/>
  <c r="M230" i="1"/>
  <c r="N152" i="1"/>
  <c r="M203" i="1"/>
  <c r="M765" i="1"/>
  <c r="M362" i="1"/>
  <c r="M712" i="1"/>
  <c r="N761" i="1"/>
  <c r="M960" i="1"/>
  <c r="N411" i="1"/>
  <c r="N270" i="1"/>
  <c r="N518" i="1"/>
  <c r="N845" i="1"/>
  <c r="M31" i="1"/>
  <c r="M446" i="1"/>
  <c r="N53" i="1"/>
  <c r="N985" i="1"/>
  <c r="M288" i="1"/>
  <c r="M804" i="1"/>
  <c r="M472" i="1"/>
  <c r="M335" i="1"/>
  <c r="M392" i="1"/>
  <c r="M848" i="1"/>
  <c r="M208" i="1"/>
  <c r="N549" i="1"/>
  <c r="N365" i="1"/>
  <c r="N205" i="1"/>
  <c r="M20" i="1"/>
  <c r="M353" i="1"/>
  <c r="M242" i="1"/>
  <c r="M152" i="1"/>
  <c r="M584" i="1"/>
  <c r="M611" i="1"/>
  <c r="M528" i="1"/>
  <c r="N565" i="1"/>
  <c r="N381" i="1"/>
  <c r="N221" i="1"/>
  <c r="N18" i="1"/>
  <c r="M289" i="1"/>
  <c r="M173" i="1"/>
  <c r="M552" i="1"/>
  <c r="M496" i="1"/>
  <c r="N469" i="1"/>
  <c r="N85" i="1"/>
  <c r="M463" i="1"/>
  <c r="M157" i="1"/>
  <c r="N647" i="1"/>
  <c r="M718" i="1"/>
  <c r="N553" i="1"/>
  <c r="N425" i="1"/>
  <c r="N297" i="1"/>
  <c r="N169" i="1"/>
  <c r="M45" i="1"/>
  <c r="N504" i="1"/>
  <c r="N222" i="1"/>
  <c r="M347" i="1"/>
  <c r="M529" i="1"/>
  <c r="N272" i="1"/>
  <c r="N23" i="1"/>
  <c r="M371" i="1"/>
  <c r="N573" i="1"/>
  <c r="N245" i="1"/>
  <c r="M655" i="1"/>
  <c r="M199" i="1"/>
  <c r="M790" i="1"/>
  <c r="N910" i="1"/>
  <c r="N481" i="1"/>
  <c r="N313" i="1"/>
  <c r="N145" i="1"/>
  <c r="M646" i="1"/>
  <c r="M271" i="1"/>
  <c r="N302" i="1"/>
  <c r="N638" i="1"/>
  <c r="M564" i="1"/>
  <c r="M436" i="1"/>
  <c r="M308" i="1"/>
  <c r="M180" i="1"/>
  <c r="N16" i="1"/>
  <c r="N460" i="1"/>
  <c r="N94" i="1"/>
  <c r="N336" i="1"/>
  <c r="M836" i="1"/>
  <c r="N649" i="1"/>
  <c r="M530" i="1"/>
  <c r="N332" i="1"/>
  <c r="M174" i="1"/>
  <c r="N95" i="1"/>
  <c r="N251" i="1"/>
  <c r="N716" i="1"/>
  <c r="N174" i="1"/>
  <c r="N885" i="1"/>
  <c r="M1000" i="1"/>
  <c r="N917" i="1"/>
  <c r="N1008" i="1"/>
  <c r="N146" i="1"/>
  <c r="M675" i="1"/>
  <c r="M895" i="1"/>
  <c r="M190" i="1"/>
  <c r="N502" i="1"/>
  <c r="N164" i="1"/>
  <c r="N972" i="1"/>
  <c r="N802" i="1"/>
  <c r="M75" i="1"/>
  <c r="N493" i="1"/>
  <c r="M435" i="1"/>
  <c r="N304" i="1"/>
  <c r="N157" i="1"/>
  <c r="M296" i="1"/>
  <c r="N388" i="1"/>
  <c r="N521" i="1"/>
  <c r="M50" i="1"/>
  <c r="M793" i="1"/>
  <c r="N501" i="1"/>
  <c r="N124" i="1"/>
  <c r="N105" i="1"/>
  <c r="M824" i="1"/>
  <c r="M148" i="1"/>
  <c r="N778" i="1"/>
  <c r="M302" i="1"/>
  <c r="N20" i="1"/>
  <c r="M658" i="1"/>
  <c r="N186" i="1"/>
  <c r="M777" i="1"/>
  <c r="N294" i="1"/>
  <c r="N936" i="1"/>
  <c r="M352" i="1"/>
  <c r="N570" i="1"/>
  <c r="M624" i="1"/>
  <c r="N485" i="1"/>
  <c r="N133" i="1"/>
  <c r="N496" i="1"/>
  <c r="N180" i="1"/>
  <c r="M384" i="1"/>
  <c r="M360" i="1"/>
  <c r="N373" i="1"/>
  <c r="M135" i="1"/>
  <c r="N870" i="1"/>
  <c r="N465" i="1"/>
  <c r="N241" i="1"/>
  <c r="M42" i="1"/>
  <c r="M189" i="1"/>
  <c r="M477" i="1"/>
  <c r="M440" i="1"/>
  <c r="N517" i="1"/>
  <c r="M565" i="1"/>
  <c r="N380" i="1"/>
  <c r="N561" i="1"/>
  <c r="N337" i="1"/>
  <c r="N57" i="1"/>
  <c r="N322" i="1"/>
  <c r="N747" i="1"/>
  <c r="M620" i="1"/>
  <c r="M452" i="1"/>
  <c r="M284" i="1"/>
  <c r="M108" i="1"/>
  <c r="M586" i="1"/>
  <c r="M125" i="1"/>
  <c r="M711" i="1"/>
  <c r="M871" i="1"/>
  <c r="N539" i="1"/>
  <c r="M294" i="1"/>
  <c r="M59" i="1"/>
  <c r="N178" i="1"/>
  <c r="N621" i="1"/>
  <c r="M323" i="1"/>
  <c r="N377" i="1"/>
  <c r="M519" i="1"/>
  <c r="N927" i="1"/>
  <c r="M476" i="1"/>
  <c r="M252" i="1"/>
  <c r="N51" i="1"/>
  <c r="N196" i="1"/>
  <c r="N678" i="1"/>
  <c r="N376" i="1"/>
  <c r="M110" i="1"/>
  <c r="M234" i="1"/>
  <c r="N639" i="1"/>
  <c r="M635" i="1"/>
  <c r="M964" i="1"/>
  <c r="N742" i="1"/>
  <c r="N330" i="1"/>
  <c r="M760" i="1"/>
  <c r="N1010" i="1"/>
  <c r="N595" i="1"/>
  <c r="N790" i="1"/>
  <c r="N939" i="1"/>
  <c r="N31" i="1"/>
  <c r="M168" i="1"/>
  <c r="N333" i="1"/>
  <c r="N770" i="1"/>
  <c r="M272" i="1"/>
  <c r="M30" i="1"/>
  <c r="M240" i="1"/>
  <c r="N40" i="1"/>
  <c r="N393" i="1"/>
  <c r="N440" i="1"/>
  <c r="M243" i="1"/>
  <c r="N165" i="1"/>
  <c r="N609" i="1"/>
  <c r="M550" i="1"/>
  <c r="M532" i="1"/>
  <c r="N27" i="1"/>
  <c r="M912" i="1"/>
  <c r="N268" i="1"/>
  <c r="N91" i="1"/>
  <c r="M501" i="1"/>
  <c r="M589" i="1"/>
  <c r="M610" i="1"/>
  <c r="M418" i="1"/>
  <c r="N978" i="1"/>
  <c r="M576" i="1"/>
  <c r="M424" i="1"/>
  <c r="M304" i="1"/>
  <c r="N389" i="1"/>
  <c r="N69" i="1"/>
  <c r="M417" i="1"/>
  <c r="N13" i="1"/>
  <c r="N983" i="1"/>
  <c r="M217" i="1"/>
  <c r="N197" i="1"/>
  <c r="M81" i="1"/>
  <c r="N633" i="1"/>
  <c r="N409" i="1"/>
  <c r="N177" i="1"/>
  <c r="N616" i="1"/>
  <c r="M167" i="1"/>
  <c r="M781" i="1"/>
  <c r="N190" i="1"/>
  <c r="N357" i="1"/>
  <c r="M346" i="1"/>
  <c r="M948" i="1"/>
  <c r="N505" i="1"/>
  <c r="N281" i="1"/>
  <c r="M34" i="1"/>
  <c r="M154" i="1"/>
  <c r="M914" i="1"/>
  <c r="M580" i="1"/>
  <c r="M412" i="1"/>
  <c r="M236" i="1"/>
  <c r="M68" i="1"/>
  <c r="N478" i="1"/>
  <c r="M147" i="1"/>
  <c r="M53" i="1"/>
  <c r="N653" i="1"/>
  <c r="M430" i="1"/>
  <c r="M251" i="1"/>
  <c r="N172" i="1"/>
  <c r="M320" i="1"/>
  <c r="N293" i="1"/>
  <c r="N344" i="1"/>
  <c r="N257" i="1"/>
  <c r="N291" i="1"/>
  <c r="M185" i="1"/>
  <c r="M420" i="1"/>
  <c r="M188" i="1"/>
  <c r="N636" i="1"/>
  <c r="N104" i="1"/>
  <c r="N830" i="1"/>
  <c r="N173" i="1"/>
  <c r="M486" i="1"/>
  <c r="N509" i="1"/>
  <c r="M96" i="1"/>
  <c r="N341" i="1"/>
  <c r="M325" i="1"/>
  <c r="N265" i="1"/>
  <c r="N84" i="1"/>
  <c r="N111" i="1"/>
  <c r="N511" i="1"/>
  <c r="N441" i="1"/>
  <c r="N112" i="1"/>
  <c r="M404" i="1"/>
  <c r="N386" i="1"/>
  <c r="M622" i="1"/>
  <c r="N132" i="1"/>
  <c r="N343" i="1"/>
  <c r="M177" i="1"/>
  <c r="M479" i="1"/>
  <c r="M853" i="1"/>
  <c r="N732" i="1"/>
  <c r="N266" i="1"/>
  <c r="M568" i="1"/>
  <c r="M136" i="1"/>
  <c r="N637" i="1"/>
  <c r="N309" i="1"/>
  <c r="M46" i="1"/>
  <c r="M299" i="1"/>
  <c r="M275" i="1"/>
  <c r="M504" i="1"/>
  <c r="M176" i="1"/>
  <c r="O176" i="1" s="1"/>
  <c r="N50" i="1"/>
  <c r="N515" i="1"/>
  <c r="N577" i="1"/>
  <c r="N345" i="1"/>
  <c r="N121" i="1"/>
  <c r="M471" i="1"/>
  <c r="N106" i="1"/>
  <c r="M128" i="1"/>
  <c r="M551" i="1"/>
  <c r="N181" i="1"/>
  <c r="M74" i="1"/>
  <c r="M497" i="1"/>
  <c r="N449" i="1"/>
  <c r="N217" i="1"/>
  <c r="M578" i="1"/>
  <c r="M78" i="1"/>
  <c r="N946" i="1"/>
  <c r="M540" i="1"/>
  <c r="M364" i="1"/>
  <c r="M196" i="1"/>
  <c r="M27" i="1"/>
  <c r="N360" i="1"/>
  <c r="M21" i="1"/>
  <c r="M644" i="1"/>
  <c r="M614" i="1"/>
  <c r="N383" i="1"/>
  <c r="N184" i="1"/>
  <c r="M83" i="1"/>
  <c r="M184" i="1"/>
  <c r="M22" i="1"/>
  <c r="N601" i="1"/>
  <c r="N153" i="1"/>
  <c r="M55" i="1"/>
  <c r="M588" i="1"/>
  <c r="M356" i="1"/>
  <c r="M132" i="1"/>
  <c r="M494" i="1"/>
  <c r="N374" i="1"/>
  <c r="M555" i="1"/>
  <c r="M263" i="1"/>
  <c r="N72" i="1"/>
  <c r="M784" i="1"/>
  <c r="M226" i="1"/>
  <c r="N306" i="1"/>
  <c r="M886" i="1"/>
  <c r="M807" i="1"/>
  <c r="N594" i="1"/>
  <c r="O594" i="1" s="1"/>
  <c r="M905" i="1"/>
  <c r="M426" i="1"/>
  <c r="N704" i="1"/>
  <c r="N874" i="1"/>
  <c r="N1000" i="1"/>
  <c r="M344" i="1"/>
  <c r="N349" i="1"/>
  <c r="N137" i="1"/>
  <c r="N273" i="1"/>
  <c r="M438" i="1"/>
  <c r="N748" i="1"/>
  <c r="M248" i="1"/>
  <c r="N608" i="1"/>
  <c r="N541" i="1"/>
  <c r="N289" i="1"/>
  <c r="M394" i="1"/>
  <c r="N625" i="1"/>
  <c r="N210" i="1"/>
  <c r="M156" i="1"/>
  <c r="N957" i="1"/>
  <c r="M35" i="1"/>
  <c r="N34" i="1"/>
  <c r="M76" i="1"/>
  <c r="N656" i="1"/>
  <c r="M186" i="1"/>
  <c r="M434" i="1"/>
  <c r="M561" i="1"/>
  <c r="O561" i="1" s="1"/>
  <c r="N467" i="1"/>
  <c r="N315" i="1"/>
  <c r="N832" i="1"/>
  <c r="N930" i="1"/>
  <c r="M731" i="1"/>
  <c r="M397" i="1"/>
  <c r="M929" i="1"/>
  <c r="N740" i="1"/>
  <c r="N394" i="1"/>
  <c r="M962" i="1"/>
  <c r="N794" i="1"/>
  <c r="M449" i="1"/>
  <c r="N889" i="1"/>
  <c r="N378" i="1"/>
  <c r="N723" i="1"/>
  <c r="N933" i="1"/>
  <c r="N904" i="1"/>
  <c r="M567" i="1"/>
  <c r="N966" i="1"/>
  <c r="M715" i="1"/>
  <c r="M197" i="1"/>
  <c r="M815" i="1"/>
  <c r="N495" i="1"/>
  <c r="M131" i="1"/>
  <c r="N391" i="1"/>
  <c r="M603" i="1"/>
  <c r="N657" i="1"/>
  <c r="M11" i="1"/>
  <c r="M587" i="1"/>
  <c r="N892" i="1"/>
  <c r="N883" i="1"/>
  <c r="M377" i="1"/>
  <c r="N825" i="1"/>
  <c r="M290" i="1"/>
  <c r="M776" i="1"/>
  <c r="M349" i="1"/>
  <c r="O349" i="1" s="1"/>
  <c r="N387" i="1"/>
  <c r="M709" i="1"/>
  <c r="M837" i="1"/>
  <c r="M631" i="1"/>
  <c r="N907" i="1"/>
  <c r="M393" i="1"/>
  <c r="N787" i="1"/>
  <c r="M965" i="1"/>
  <c r="N762" i="1"/>
  <c r="M1009" i="1"/>
  <c r="N676" i="1"/>
  <c r="N1007" i="1"/>
  <c r="M544" i="1"/>
  <c r="N453" i="1"/>
  <c r="M609" i="1"/>
  <c r="N321" i="1"/>
  <c r="M61" i="1"/>
  <c r="M556" i="1"/>
  <c r="M332" i="1"/>
  <c r="M100" i="1"/>
  <c r="M427" i="1"/>
  <c r="N244" i="1"/>
  <c r="N671" i="1"/>
  <c r="N414" i="1"/>
  <c r="N140" i="1"/>
  <c r="M309" i="1"/>
  <c r="N536" i="1"/>
  <c r="N758" i="1"/>
  <c r="M270" i="1"/>
  <c r="M665" i="1"/>
  <c r="M40" i="1"/>
  <c r="N643" i="1"/>
  <c r="M926" i="1"/>
  <c r="M389" i="1"/>
  <c r="N726" i="1"/>
  <c r="N890" i="1"/>
  <c r="N1001" i="1"/>
  <c r="N812" i="1"/>
  <c r="N548" i="1"/>
  <c r="M982" i="1"/>
  <c r="M768" i="1"/>
  <c r="N443" i="1"/>
  <c r="N977" i="1"/>
  <c r="N829" i="1"/>
  <c r="N379" i="1"/>
  <c r="N781" i="1"/>
  <c r="N64" i="1"/>
  <c r="M630" i="1"/>
  <c r="N867" i="1"/>
  <c r="M917" i="1"/>
  <c r="M112" i="1"/>
  <c r="M376" i="1"/>
  <c r="M699" i="1"/>
  <c r="N582" i="1"/>
  <c r="M79" i="1"/>
  <c r="O79" i="1" s="1"/>
  <c r="M652" i="1"/>
  <c r="M134" i="1"/>
  <c r="N168" i="1"/>
  <c r="M363" i="1"/>
  <c r="N73" i="1"/>
  <c r="M144" i="1"/>
  <c r="N385" i="1"/>
  <c r="M984" i="1"/>
  <c r="N19" i="1"/>
  <c r="M583" i="1"/>
  <c r="N39" i="1"/>
  <c r="N448" i="1"/>
  <c r="M343" i="1"/>
  <c r="O343" i="1" s="1"/>
  <c r="M445" i="1"/>
  <c r="N122" i="1"/>
  <c r="N275" i="1"/>
  <c r="N945" i="1"/>
  <c r="N689" i="1"/>
  <c r="M521" i="1"/>
  <c r="M906" i="1"/>
  <c r="M889" i="1"/>
  <c r="N677" i="1"/>
  <c r="M169" i="1"/>
  <c r="M893" i="1"/>
  <c r="N682" i="1"/>
  <c r="M298" i="1"/>
  <c r="M930" i="1"/>
  <c r="M744" i="1"/>
  <c r="M581" i="1"/>
  <c r="N944" i="1"/>
  <c r="M478" i="1"/>
  <c r="M782" i="1"/>
  <c r="N975" i="1"/>
  <c r="N823" i="1"/>
  <c r="N434" i="1"/>
  <c r="M924" i="1"/>
  <c r="M633" i="1"/>
  <c r="N1003" i="1"/>
  <c r="M751" i="1"/>
  <c r="N395" i="1"/>
  <c r="N207" i="1"/>
  <c r="N426" i="1"/>
  <c r="M650" i="1"/>
  <c r="N756" i="1"/>
  <c r="N252" i="1"/>
  <c r="N688" i="1"/>
  <c r="N949" i="1"/>
  <c r="M795" i="1"/>
  <c r="N200" i="1"/>
  <c r="N757" i="1"/>
  <c r="N87" i="1"/>
  <c r="N654" i="1"/>
  <c r="M165" i="1"/>
  <c r="N455" i="1"/>
  <c r="M736" i="1"/>
  <c r="M858" i="1"/>
  <c r="N692" i="1"/>
  <c r="N981" i="1"/>
  <c r="M526" i="1"/>
  <c r="N862" i="1"/>
  <c r="N914" i="1"/>
  <c r="M667" i="1"/>
  <c r="N934" i="1"/>
  <c r="N527" i="1"/>
  <c r="N932" i="1"/>
  <c r="M664" i="1"/>
  <c r="N117" i="1"/>
  <c r="N179" i="1"/>
  <c r="N209" i="1"/>
  <c r="M258" i="1"/>
  <c r="M508" i="1"/>
  <c r="M268" i="1"/>
  <c r="N48" i="1"/>
  <c r="N296" i="1"/>
  <c r="N614" i="1"/>
  <c r="N640" i="1"/>
  <c r="N350" i="1"/>
  <c r="N42" i="1"/>
  <c r="M856" i="1"/>
  <c r="N314" i="1"/>
  <c r="M224" i="1"/>
  <c r="N41" i="1"/>
  <c r="N568" i="1"/>
  <c r="M276" i="1"/>
  <c r="N844" i="1"/>
  <c r="M789" i="1"/>
  <c r="N557" i="1"/>
  <c r="M720" i="1"/>
  <c r="M126" i="1"/>
  <c r="M338" i="1"/>
  <c r="M29" i="1"/>
  <c r="N161" i="1"/>
  <c r="M492" i="1"/>
  <c r="M274" i="1"/>
  <c r="N340" i="1"/>
  <c r="M279" i="1"/>
  <c r="M524" i="1"/>
  <c r="N86" i="1"/>
  <c r="M317" i="1"/>
  <c r="M354" i="1"/>
  <c r="N847" i="1"/>
  <c r="M133" i="1"/>
  <c r="N831" i="1"/>
  <c r="N662" i="1"/>
  <c r="N971" i="1"/>
  <c r="N841" i="1"/>
  <c r="M598" i="1"/>
  <c r="M1003" i="1"/>
  <c r="M847" i="1"/>
  <c r="O847" i="1" s="1"/>
  <c r="M613" i="1"/>
  <c r="M162" i="1"/>
  <c r="M899" i="1"/>
  <c r="N71" i="1"/>
  <c r="M685" i="1"/>
  <c r="N1004" i="1"/>
  <c r="M582" i="1"/>
  <c r="M838" i="1"/>
  <c r="N999" i="1"/>
  <c r="M752" i="1"/>
  <c r="M286" i="1"/>
  <c r="M874" i="1"/>
  <c r="N538" i="1"/>
  <c r="M943" i="1"/>
  <c r="M684" i="1"/>
  <c r="N154" i="1"/>
  <c r="N259" i="1"/>
  <c r="N494" i="1"/>
  <c r="N156" i="1"/>
  <c r="N863" i="1"/>
  <c r="N416" i="1"/>
  <c r="N763" i="1"/>
  <c r="N1002" i="1"/>
  <c r="N695" i="1"/>
  <c r="M998" i="1"/>
  <c r="N620" i="1"/>
  <c r="N964" i="1"/>
  <c r="N559" i="1"/>
  <c r="M67" i="1"/>
  <c r="O67" i="1" s="1"/>
  <c r="N508" i="1"/>
  <c r="M771" i="1"/>
  <c r="N236" i="1"/>
  <c r="N767" i="1"/>
  <c r="M94" i="1"/>
  <c r="M657" i="1"/>
  <c r="O657" i="1" s="1"/>
  <c r="N925" i="1"/>
  <c r="M881" i="1"/>
  <c r="N491" i="1"/>
  <c r="M843" i="1"/>
  <c r="M387" i="1"/>
  <c r="N858" i="1"/>
  <c r="N896" i="1"/>
  <c r="M481" i="1"/>
  <c r="N545" i="1"/>
  <c r="N97" i="1"/>
  <c r="M690" i="1"/>
  <c r="M444" i="1"/>
  <c r="M220" i="1"/>
  <c r="N35" i="1"/>
  <c r="N63" i="1"/>
  <c r="M872" i="1"/>
  <c r="N588" i="1"/>
  <c r="N286" i="1"/>
  <c r="N116" i="1"/>
  <c r="M753" i="1"/>
  <c r="M16" i="1"/>
  <c r="N500" i="1"/>
  <c r="N996" i="1"/>
  <c r="M934" i="1"/>
  <c r="N392" i="1"/>
  <c r="M803" i="1"/>
  <c r="N114" i="1"/>
  <c r="M634" i="1"/>
  <c r="M811" i="1"/>
  <c r="N955" i="1"/>
  <c r="N909" i="1"/>
  <c r="M706" i="1"/>
  <c r="N335" i="1"/>
  <c r="N871" i="1"/>
  <c r="N658" i="1"/>
  <c r="N238" i="1"/>
  <c r="M922" i="1"/>
  <c r="N719" i="1"/>
  <c r="M648" i="1"/>
  <c r="M918" i="1"/>
  <c r="M431" i="1"/>
  <c r="N752" i="1"/>
  <c r="N953" i="1"/>
  <c r="N791" i="1"/>
  <c r="M456" i="1"/>
  <c r="M503" i="1"/>
  <c r="N513" i="1"/>
  <c r="M324" i="1"/>
  <c r="M300" i="1"/>
  <c r="N665" i="1"/>
  <c r="N980" i="1"/>
  <c r="M797" i="1"/>
  <c r="N287" i="1"/>
  <c r="N888" i="1"/>
  <c r="N789" i="1"/>
  <c r="N14" i="1"/>
  <c r="M939" i="1"/>
  <c r="N555" i="1"/>
  <c r="N458" i="1"/>
  <c r="N456" i="1"/>
  <c r="M981" i="1"/>
  <c r="M149" i="1"/>
  <c r="N433" i="1"/>
  <c r="M164" i="1"/>
  <c r="M522" i="1"/>
  <c r="M433" i="1"/>
  <c r="M857" i="1"/>
  <c r="M543" i="1"/>
  <c r="M239" i="1"/>
  <c r="N854" i="1"/>
  <c r="N866" i="1"/>
  <c r="M69" i="1"/>
  <c r="M546" i="1"/>
  <c r="M888" i="1"/>
  <c r="M725" i="1"/>
  <c r="M531" i="1"/>
  <c r="M997" i="1"/>
  <c r="N503" i="1"/>
  <c r="M898" i="1"/>
  <c r="N463" i="1"/>
  <c r="O463" i="1" s="1"/>
  <c r="N423" i="1"/>
  <c r="N28" i="1"/>
  <c r="M380" i="1"/>
  <c r="M509" i="1"/>
  <c r="M830" i="1"/>
  <c r="N204" i="1"/>
  <c r="M740" i="1"/>
  <c r="M385" i="1"/>
  <c r="O385" i="1" s="1"/>
  <c r="M98" i="1"/>
  <c r="O98" i="1" s="1"/>
  <c r="M947" i="1"/>
  <c r="M694" i="1"/>
  <c r="M995" i="1"/>
  <c r="M623" i="1"/>
  <c r="M901" i="1"/>
  <c r="M331" i="1"/>
  <c r="N754" i="1"/>
  <c r="M876" i="1"/>
  <c r="M653" i="1"/>
  <c r="N970" i="1"/>
  <c r="M130" i="1"/>
  <c r="N507" i="1"/>
  <c r="M851" i="1"/>
  <c r="M839" i="1"/>
  <c r="N488" i="1"/>
  <c r="M460" i="1"/>
  <c r="N43" i="1"/>
  <c r="N408" i="1"/>
  <c r="M310" i="1"/>
  <c r="M367" i="1"/>
  <c r="M951" i="1"/>
  <c r="N474" i="1"/>
  <c r="N703" i="1"/>
  <c r="N464" i="1"/>
  <c r="N882" i="1"/>
  <c r="N826" i="1"/>
  <c r="N119" i="1"/>
  <c r="N672" i="1"/>
  <c r="M844" i="1"/>
  <c r="M764" i="1"/>
  <c r="N506" i="1"/>
  <c r="O506" i="1" s="1"/>
  <c r="M985" i="1"/>
  <c r="N403" i="1"/>
  <c r="M602" i="1"/>
  <c r="M909" i="1"/>
  <c r="N522" i="1"/>
  <c r="M305" i="1"/>
  <c r="M618" i="1"/>
  <c r="N710" i="1"/>
  <c r="M383" i="1"/>
  <c r="N919" i="1"/>
  <c r="N720" i="1"/>
  <c r="N903" i="1"/>
  <c r="M980" i="1"/>
  <c r="N427" i="1"/>
  <c r="N342" i="1"/>
  <c r="M703" i="1"/>
  <c r="N83" i="1"/>
  <c r="M923" i="1"/>
  <c r="M713" i="1"/>
  <c r="M949" i="1"/>
  <c r="M351" i="1"/>
  <c r="N800" i="1"/>
  <c r="N537" i="1"/>
  <c r="M316" i="1"/>
  <c r="N685" i="1"/>
  <c r="N562" i="1"/>
  <c r="M649" i="1"/>
  <c r="M692" i="1"/>
  <c r="N418" i="1"/>
  <c r="N799" i="1"/>
  <c r="N11" i="1"/>
  <c r="N576" i="1"/>
  <c r="N622" i="1"/>
  <c r="N187" i="1"/>
  <c r="N58" i="1"/>
  <c r="N334" i="1"/>
  <c r="N935" i="1"/>
  <c r="M415" i="1"/>
  <c r="N175" i="1"/>
  <c r="M390" i="1"/>
  <c r="N490" i="1"/>
  <c r="M825" i="1"/>
  <c r="N792" i="1"/>
  <c r="M846" i="1"/>
  <c r="N542" i="1"/>
  <c r="N564" i="1"/>
  <c r="N650" i="1"/>
  <c r="M33" i="1"/>
  <c r="N512" i="1"/>
  <c r="M693" i="1"/>
  <c r="M796" i="1"/>
  <c r="M237" i="1"/>
  <c r="M93" i="1"/>
  <c r="O93" i="1" s="1"/>
  <c r="M115" i="1"/>
  <c r="N260" i="1"/>
  <c r="M666" i="1"/>
  <c r="M223" i="1"/>
  <c r="M99" i="1"/>
  <c r="N218" i="1"/>
  <c r="M721" i="1"/>
  <c r="M828" i="1"/>
  <c r="N560" i="1"/>
  <c r="N396" i="1"/>
  <c r="N158" i="1"/>
  <c r="M150" i="1"/>
  <c r="M127" i="1"/>
  <c r="N813" i="1"/>
  <c r="N283" i="1"/>
  <c r="M213" i="1"/>
  <c r="N390" i="1"/>
  <c r="M774" i="1"/>
  <c r="M696" i="1"/>
  <c r="N25" i="1"/>
  <c r="M60" i="1"/>
  <c r="M358" i="1"/>
  <c r="N673" i="1"/>
  <c r="N618" i="1"/>
  <c r="N843" i="1"/>
  <c r="N242" i="1"/>
  <c r="N783" i="1"/>
  <c r="M605" i="1"/>
  <c r="N234" i="1"/>
  <c r="M716" i="1"/>
  <c r="O716" i="1" s="1"/>
  <c r="N74" i="1"/>
  <c r="N632" i="1"/>
  <c r="M900" i="1"/>
  <c r="N961" i="1"/>
  <c r="M311" i="1"/>
  <c r="N400" i="1"/>
  <c r="N307" i="1"/>
  <c r="N575" i="1"/>
  <c r="M831" i="1"/>
  <c r="M942" i="1"/>
  <c r="M993" i="1"/>
  <c r="N721" i="1"/>
  <c r="M365" i="1"/>
  <c r="M817" i="1"/>
  <c r="N288" i="1"/>
  <c r="N987" i="1"/>
  <c r="M475" i="1"/>
  <c r="N788" i="1"/>
  <c r="M495" i="1"/>
  <c r="N820" i="1"/>
  <c r="N954" i="1"/>
  <c r="N406" i="1"/>
  <c r="N318" i="1"/>
  <c r="N487" i="1"/>
  <c r="M921" i="1"/>
  <c r="N211" i="1"/>
  <c r="M867" i="1"/>
  <c r="M834" i="1"/>
  <c r="N772" i="1"/>
  <c r="M26" i="1"/>
  <c r="M558" i="1"/>
  <c r="M215" i="1"/>
  <c r="N982" i="1"/>
  <c r="N327" i="1"/>
  <c r="N717" i="1"/>
  <c r="M559" i="1"/>
  <c r="N923" i="1"/>
  <c r="N759" i="1"/>
  <c r="N908" i="1"/>
  <c r="N364" i="1"/>
  <c r="N769" i="1"/>
  <c r="N856" i="1"/>
  <c r="N696" i="1"/>
  <c r="N875" i="1"/>
  <c r="M361" i="1"/>
  <c r="O361" i="1" s="1"/>
  <c r="N839" i="1"/>
  <c r="M432" i="1"/>
  <c r="N417" i="1"/>
  <c r="N879" i="1"/>
  <c r="M260" i="1"/>
  <c r="M253" i="1"/>
  <c r="M629" i="1"/>
  <c r="N24" i="1"/>
  <c r="M470" i="1"/>
  <c r="N973" i="1"/>
  <c r="N442" i="1"/>
  <c r="N150" i="1"/>
  <c r="N779" i="1"/>
  <c r="M941" i="1"/>
  <c r="N422" i="1"/>
  <c r="N807" i="1"/>
  <c r="N1005" i="1"/>
  <c r="N243" i="1"/>
  <c r="N986" i="1"/>
  <c r="M766" i="1"/>
  <c r="M845" i="1"/>
  <c r="M937" i="1"/>
  <c r="M322" i="1"/>
  <c r="M52" i="1"/>
  <c r="O52" i="1" s="1"/>
  <c r="N593" i="1"/>
  <c r="N26" i="1"/>
  <c r="M348" i="1"/>
  <c r="M443" i="1"/>
  <c r="N45" i="1"/>
  <c r="M151" i="1"/>
  <c r="M707" i="1"/>
  <c r="M708" i="1"/>
  <c r="N753" i="1"/>
  <c r="N860" i="1"/>
  <c r="M615" i="1"/>
  <c r="N947" i="1"/>
  <c r="M717" i="1"/>
  <c r="N950" i="1"/>
  <c r="N470" i="1"/>
  <c r="N733" i="1"/>
  <c r="M903" i="1"/>
  <c r="N680" i="1"/>
  <c r="M933" i="1"/>
  <c r="M1007" i="1"/>
  <c r="N475" i="1"/>
  <c r="N833" i="1"/>
  <c r="N367" i="1"/>
  <c r="N402" i="1"/>
  <c r="M662" i="1"/>
  <c r="N834" i="1"/>
  <c r="M517" i="1"/>
  <c r="M991" i="1"/>
  <c r="N510" i="1"/>
  <c r="M779" i="1"/>
  <c r="N861" i="1"/>
  <c r="M257" i="1"/>
  <c r="M437" i="1"/>
  <c r="M742" i="1"/>
  <c r="M405" i="1"/>
  <c r="M19" i="1"/>
  <c r="N806" i="1"/>
  <c r="M897" i="1"/>
  <c r="M990" i="1"/>
  <c r="N648" i="1"/>
  <c r="N89" i="1"/>
  <c r="M92" i="1"/>
  <c r="N566" i="1"/>
  <c r="M570" i="1"/>
  <c r="M822" i="1"/>
  <c r="M277" i="1"/>
  <c r="M970" i="1"/>
  <c r="N123" i="1"/>
  <c r="M770" i="1"/>
  <c r="N135" i="1"/>
  <c r="N446" i="1"/>
  <c r="M287" i="1"/>
  <c r="M682" i="1"/>
  <c r="M549" i="1"/>
  <c r="M994" i="1"/>
  <c r="N107" i="1"/>
  <c r="M919" i="1"/>
  <c r="N17" i="1"/>
  <c r="M642" i="1"/>
  <c r="O642" i="1" s="1"/>
  <c r="N846" i="1"/>
  <c r="M303" i="1"/>
  <c r="N951" i="1"/>
  <c r="N182" i="1"/>
  <c r="N46" i="1"/>
  <c r="N229" i="1"/>
  <c r="M137" i="1"/>
  <c r="O137" i="1" s="1"/>
  <c r="N120" i="1"/>
  <c r="N163" i="1"/>
  <c r="M958" i="1"/>
  <c r="N498" i="1"/>
  <c r="N998" i="1"/>
  <c r="N170" i="1"/>
  <c r="N660" i="1"/>
  <c r="M880" i="1"/>
  <c r="N543" i="1"/>
  <c r="M841" i="1"/>
  <c r="M489" i="1"/>
  <c r="M672" i="1"/>
  <c r="N219" i="1"/>
  <c r="M301" i="1"/>
  <c r="O301" i="1" s="1"/>
  <c r="M560" i="1"/>
  <c r="M612" i="1"/>
  <c r="M86" i="1"/>
  <c r="N220" i="1"/>
  <c r="N853" i="1"/>
  <c r="M700" i="1"/>
  <c r="N873" i="1"/>
  <c r="M683" i="1"/>
  <c r="M987" i="1"/>
  <c r="M647" i="1"/>
  <c r="M818" i="1"/>
  <c r="M62" i="1"/>
  <c r="N203" i="1"/>
  <c r="M974" i="1"/>
  <c r="N808" i="1"/>
  <c r="N698" i="1"/>
  <c r="N192" i="1"/>
  <c r="N750" i="1"/>
  <c r="N101" i="1"/>
  <c r="N193" i="1"/>
  <c r="M604" i="1"/>
  <c r="M140" i="1"/>
  <c r="N37" i="1"/>
  <c r="N452" i="1"/>
  <c r="M66" i="1"/>
  <c r="M37" i="1"/>
  <c r="M545" i="1"/>
  <c r="M661" i="1"/>
  <c r="N407" i="1"/>
  <c r="M865" i="1"/>
  <c r="N855" i="1"/>
  <c r="M209" i="1"/>
  <c r="N697" i="1"/>
  <c r="M938" i="1"/>
  <c r="N550" i="1"/>
  <c r="N246" i="1"/>
  <c r="N878" i="1"/>
  <c r="M681" i="1"/>
  <c r="N821" i="1"/>
  <c r="N1011" i="1"/>
  <c r="N605" i="1"/>
  <c r="N369" i="1"/>
  <c r="M359" i="1"/>
  <c r="M228" i="1"/>
  <c r="M166" i="1"/>
  <c r="M606" i="1"/>
  <c r="N131" i="1"/>
  <c r="N398" i="1"/>
  <c r="M651" i="1"/>
  <c r="M195" i="1"/>
  <c r="N968" i="1"/>
  <c r="N715" i="1"/>
  <c r="M1010" i="1"/>
  <c r="M574" i="1"/>
  <c r="M882" i="1"/>
  <c r="N274" i="1"/>
  <c r="M337" i="1"/>
  <c r="O337" i="1" s="1"/>
  <c r="M12" i="1"/>
  <c r="N795" i="1"/>
  <c r="N805" i="1"/>
  <c r="M911" i="1"/>
  <c r="M247" i="1"/>
  <c r="N737" i="1"/>
  <c r="N231" i="1"/>
  <c r="N466" i="1"/>
  <c r="M345" i="1"/>
  <c r="M955" i="1"/>
  <c r="N646" i="1"/>
  <c r="N938" i="1"/>
  <c r="M262" i="1"/>
  <c r="M654" i="1"/>
  <c r="N708" i="1"/>
  <c r="M24" i="1"/>
  <c r="N540" i="1"/>
  <c r="M786" i="1"/>
  <c r="M739" i="1"/>
  <c r="M421" i="1"/>
  <c r="N894" i="1"/>
  <c r="N738" i="1"/>
  <c r="M885" i="1"/>
  <c r="M616" i="1"/>
  <c r="M860" i="1"/>
  <c r="O860" i="1" s="1"/>
  <c r="M410" i="1"/>
  <c r="N926" i="1"/>
  <c r="M884" i="1"/>
  <c r="N963" i="1"/>
  <c r="M940" i="1"/>
  <c r="M805" i="1"/>
  <c r="M554" i="1"/>
  <c r="M318" i="1"/>
  <c r="O318" i="1" s="1"/>
  <c r="N893" i="1"/>
  <c r="M267" i="1"/>
  <c r="M505" i="1"/>
  <c r="N881" i="1"/>
  <c r="N707" i="1"/>
  <c r="M863" i="1"/>
  <c r="M890" i="1"/>
  <c r="N730" i="1"/>
  <c r="M255" i="1"/>
  <c r="N718" i="1"/>
  <c r="N354" i="1"/>
  <c r="N563" i="1"/>
  <c r="M936" i="1"/>
  <c r="O936" i="1" s="1"/>
  <c r="M916" i="1"/>
  <c r="N916" i="1"/>
  <c r="M414" i="1"/>
  <c r="N300" i="1"/>
  <c r="N610" i="1"/>
  <c r="N751" i="1"/>
  <c r="M378" i="1"/>
  <c r="N96" i="1"/>
  <c r="M178" i="1"/>
  <c r="M179" i="1"/>
  <c r="M769" i="1"/>
  <c r="N384" i="1"/>
  <c r="N690" i="1"/>
  <c r="N786" i="1"/>
  <c r="M907" i="1"/>
  <c r="O907" i="1" s="1"/>
  <c r="N284" i="1"/>
  <c r="N320" i="1"/>
  <c r="M499" i="1"/>
  <c r="N258" i="1"/>
  <c r="N76" i="1"/>
  <c r="M58" i="1"/>
  <c r="N267" i="1"/>
  <c r="N462" i="1"/>
  <c r="M723" i="1"/>
  <c r="N810" i="1"/>
  <c r="M894" i="1"/>
  <c r="M398" i="1"/>
  <c r="N255" i="1"/>
  <c r="O255" i="1" s="1"/>
  <c r="M516" i="1"/>
  <c r="M829" i="1"/>
  <c r="O829" i="1" s="1"/>
  <c r="N278" i="1"/>
  <c r="M702" i="1"/>
  <c r="M341" i="1"/>
  <c r="M878" i="1"/>
  <c r="N725" i="1"/>
  <c r="N838" i="1"/>
  <c r="M986" i="1"/>
  <c r="M73" i="1"/>
  <c r="O73" i="1" s="1"/>
  <c r="N420" i="1"/>
  <c r="N415" i="1"/>
  <c r="N486" i="1"/>
  <c r="M729" i="1"/>
  <c r="M816" i="1"/>
  <c r="N850" i="1"/>
  <c r="N901" i="1"/>
  <c r="M278" i="1"/>
  <c r="M730" i="1"/>
  <c r="N499" i="1"/>
  <c r="N623" i="1"/>
  <c r="N713" i="1"/>
  <c r="M175" i="1"/>
  <c r="M728" i="1"/>
  <c r="N667" i="1"/>
  <c r="M952" i="1"/>
  <c r="N775" i="1"/>
  <c r="M695" i="1"/>
  <c r="N768" i="1"/>
  <c r="M946" i="1"/>
  <c r="N604" i="1"/>
  <c r="N631" i="1"/>
  <c r="N324" i="1"/>
  <c r="N817" i="1"/>
  <c r="M972" i="1"/>
  <c r="N454" i="1"/>
  <c r="N924" i="1"/>
  <c r="M124" i="1"/>
  <c r="N358" i="1"/>
  <c r="M801" i="1"/>
  <c r="M988" i="1"/>
  <c r="M637" i="1"/>
  <c r="O637" i="1" s="1"/>
  <c r="M221" i="1"/>
  <c r="N744" i="1"/>
  <c r="N590" i="1"/>
  <c r="M842" i="1"/>
  <c r="N816" i="1"/>
  <c r="M411" i="1"/>
  <c r="O411" i="1" s="1"/>
  <c r="M44" i="1"/>
  <c r="M671" i="1"/>
  <c r="N780" i="1"/>
  <c r="N746" i="1"/>
  <c r="M249" i="1"/>
  <c r="M668" i="1"/>
  <c r="N271" i="1"/>
  <c r="N68" i="1"/>
  <c r="M722" i="1"/>
  <c r="N906" i="1"/>
  <c r="N872" i="1"/>
  <c r="N634" i="1"/>
  <c r="M225" i="1"/>
  <c r="O225" i="1" s="1"/>
  <c r="M41" i="1"/>
  <c r="N263" i="1"/>
  <c r="M969" i="1"/>
  <c r="M892" i="1"/>
  <c r="M292" i="1"/>
  <c r="M569" i="1"/>
  <c r="M673" i="1"/>
  <c r="M954" i="1"/>
  <c r="O954" i="1" s="1"/>
  <c r="M735" i="1"/>
  <c r="N198" i="1"/>
  <c r="N735" i="1"/>
  <c r="N641" i="1"/>
  <c r="M687" i="1"/>
  <c r="M794" i="1"/>
  <c r="N880" i="1"/>
  <c r="N868" i="1"/>
  <c r="N993" i="1"/>
  <c r="N615" i="1"/>
  <c r="N82" i="1"/>
  <c r="M579" i="1"/>
  <c r="M757" i="1"/>
  <c r="M350" i="1"/>
  <c r="N30" i="1"/>
  <c r="N21" i="1"/>
  <c r="M210" i="1"/>
  <c r="N451" i="1"/>
  <c r="M534" i="1"/>
  <c r="O534" i="1" s="1"/>
  <c r="N626" i="1"/>
  <c r="N611" i="1"/>
  <c r="N835" i="1"/>
  <c r="M778" i="1"/>
  <c r="M527" i="1"/>
  <c r="O527" i="1" s="1"/>
  <c r="N212" i="1"/>
  <c r="M139" i="1"/>
  <c r="N223" i="1"/>
  <c r="M798" i="1"/>
  <c r="N216" i="1"/>
  <c r="M762" i="1"/>
  <c r="M1005" i="1"/>
  <c r="M999" i="1"/>
  <c r="M321" i="1"/>
  <c r="O321" i="1" s="1"/>
  <c r="M370" i="1"/>
  <c r="N305" i="1"/>
  <c r="M204" i="1"/>
  <c r="M575" i="1"/>
  <c r="N928" i="1"/>
  <c r="M510" i="1"/>
  <c r="N254" i="1"/>
  <c r="M182" i="1"/>
  <c r="N567" i="1"/>
  <c r="M989" i="1"/>
  <c r="M1001" i="1"/>
  <c r="M792" i="1"/>
  <c r="M170" i="1"/>
  <c r="M788" i="1"/>
  <c r="N347" i="1"/>
  <c r="M727" i="1"/>
  <c r="N250" i="1"/>
  <c r="N492" i="1"/>
  <c r="N712" i="1"/>
  <c r="N741" i="1"/>
  <c r="M626" i="1"/>
  <c r="M51" i="1"/>
  <c r="M953" i="1"/>
  <c r="N134" i="1"/>
  <c r="M968" i="1"/>
  <c r="M925" i="1"/>
  <c r="M246" i="1"/>
  <c r="O246" i="1" s="1"/>
  <c r="M469" i="1"/>
  <c r="O469" i="1" s="1"/>
  <c r="N895" i="1"/>
  <c r="N166" i="1"/>
  <c r="M241" i="1"/>
  <c r="N191" i="1"/>
  <c r="N572" i="1"/>
  <c r="M978" i="1"/>
  <c r="N59" i="1"/>
  <c r="M218" i="1"/>
  <c r="N75" i="1"/>
  <c r="N782" i="1"/>
  <c r="N476" i="1"/>
  <c r="M748" i="1"/>
  <c r="M1006" i="1"/>
  <c r="M714" i="1"/>
  <c r="M473" i="1"/>
  <c r="N348" i="1"/>
  <c r="M785" i="1"/>
  <c r="M645" i="1"/>
  <c r="N546" i="1"/>
  <c r="M710" i="1"/>
  <c r="M861" i="1"/>
  <c r="M1002" i="1"/>
  <c r="M547" i="1"/>
  <c r="N62" i="1"/>
  <c r="M462" i="1"/>
  <c r="O462" i="1" s="1"/>
  <c r="M533" i="1"/>
  <c r="M105" i="1"/>
  <c r="M293" i="1"/>
  <c r="N310" i="1"/>
  <c r="M17" i="1"/>
  <c r="M381" i="1"/>
  <c r="O381" i="1" s="1"/>
  <c r="M573" i="1"/>
  <c r="N905" i="1"/>
  <c r="M250" i="1"/>
  <c r="N194" i="1"/>
  <c r="M117" i="1"/>
  <c r="M767" i="1"/>
  <c r="N444" i="1"/>
  <c r="N836" i="1"/>
  <c r="O836" i="1" s="1"/>
  <c r="N630" i="1"/>
  <c r="M887" i="1"/>
  <c r="M607" i="1"/>
  <c r="N532" i="1"/>
  <c r="M904" i="1"/>
  <c r="O904" i="1" s="1"/>
  <c r="N436" i="1"/>
  <c r="N299" i="1"/>
  <c r="N535" i="1"/>
  <c r="M571" i="1"/>
  <c r="M539" i="1"/>
  <c r="M775" i="1"/>
  <c r="M738" i="1"/>
  <c r="M266" i="1"/>
  <c r="M747" i="1"/>
  <c r="N54" i="1"/>
  <c r="M883" i="1"/>
  <c r="O883" i="1" s="1"/>
  <c r="M122" i="1"/>
  <c r="N702" i="1"/>
  <c r="M957" i="1"/>
  <c r="O957" i="1" s="1"/>
  <c r="M513" i="1"/>
  <c r="O513" i="1" s="1"/>
  <c r="N995" i="1"/>
  <c r="M484" i="1"/>
  <c r="M326" i="1"/>
  <c r="M577" i="1"/>
  <c r="N520" i="1"/>
  <c r="O520" i="1" s="1"/>
  <c r="N965" i="1"/>
  <c r="M14" i="1"/>
  <c r="N199" i="1"/>
  <c r="N886" i="1"/>
  <c r="M920" i="1"/>
  <c r="N612" i="1"/>
  <c r="M772" i="1"/>
  <c r="N530" i="1"/>
  <c r="N837" i="1"/>
  <c r="M231" i="1"/>
  <c r="N591" i="1"/>
  <c r="N447" i="1"/>
  <c r="N290" i="1"/>
  <c r="N824" i="1"/>
  <c r="M593" i="1"/>
  <c r="N729" i="1"/>
  <c r="N664" i="1"/>
  <c r="M281" i="1"/>
  <c r="N151" i="1"/>
  <c r="M732" i="1"/>
  <c r="O732" i="1" s="1"/>
  <c r="M163" i="1"/>
  <c r="M146" i="1"/>
  <c r="M487" i="1"/>
  <c r="N551" i="1"/>
  <c r="M511" i="1"/>
  <c r="O511" i="1" s="1"/>
  <c r="M537" i="1"/>
  <c r="O537" i="1" s="1"/>
  <c r="M118" i="1"/>
  <c r="N206" i="1"/>
  <c r="N578" i="1"/>
  <c r="O578" i="1" s="1"/>
  <c r="N709" i="1"/>
  <c r="N516" i="1"/>
  <c r="M327" i="1"/>
  <c r="O327" i="1" s="1"/>
  <c r="N143" i="1"/>
  <c r="M979" i="1"/>
  <c r="N480" i="1"/>
  <c r="N857" i="1"/>
  <c r="N338" i="1"/>
  <c r="M85" i="1"/>
  <c r="O85" i="1" s="1"/>
  <c r="N976" i="1"/>
  <c r="N110" i="1"/>
  <c r="M868" i="1"/>
  <c r="M859" i="1"/>
  <c r="N722" i="1"/>
  <c r="M896" i="1"/>
  <c r="N484" i="1"/>
  <c r="M194" i="1"/>
  <c r="N628" i="1"/>
  <c r="N776" i="1"/>
  <c r="M319" i="1"/>
  <c r="N100" i="1"/>
  <c r="M90" i="1"/>
  <c r="M819" i="1"/>
  <c r="M334" i="1"/>
  <c r="M780" i="1"/>
  <c r="N828" i="1"/>
  <c r="N777" i="1"/>
  <c r="M686" i="1"/>
  <c r="M525" i="1"/>
  <c r="M491" i="1"/>
  <c r="N148" i="1"/>
  <c r="N44" i="1"/>
  <c r="M285" i="1"/>
  <c r="O285" i="1" s="1"/>
  <c r="M705" i="1"/>
  <c r="M63" i="1"/>
  <c r="M314" i="1"/>
  <c r="M485" i="1"/>
  <c r="N884" i="1"/>
  <c r="N1006" i="1"/>
  <c r="M741" i="1"/>
  <c r="M402" i="1"/>
  <c r="N651" i="1"/>
  <c r="N276" i="1"/>
  <c r="M1004" i="1"/>
  <c r="M89" i="1"/>
  <c r="M70" i="1"/>
  <c r="M282" i="1"/>
  <c r="M879" i="1"/>
  <c r="N674" i="1"/>
  <c r="M659" i="1"/>
  <c r="N227" i="1"/>
  <c r="N183" i="1"/>
  <c r="N745" i="1"/>
  <c r="N118" i="1"/>
  <c r="N948" i="1"/>
  <c r="M809" i="1"/>
  <c r="N997" i="1"/>
  <c r="M181" i="1"/>
  <c r="M1008" i="1"/>
  <c r="N655" i="1"/>
  <c r="N471" i="1"/>
  <c r="N891" i="1"/>
  <c r="M113" i="1"/>
  <c r="O113" i="1" s="1"/>
  <c r="M758" i="1"/>
  <c r="M95" i="1"/>
  <c r="M64" i="1"/>
  <c r="M849" i="1"/>
  <c r="M425" i="1"/>
  <c r="M562" i="1"/>
  <c r="M101" i="1"/>
  <c r="M366" i="1"/>
  <c r="M429" i="1"/>
  <c r="N686" i="1"/>
  <c r="M419" i="1"/>
  <c r="N99" i="1"/>
  <c r="M214" i="1"/>
  <c r="N323" i="1"/>
  <c r="M959" i="1"/>
  <c r="N771" i="1"/>
  <c r="N424" i="1"/>
  <c r="M961" i="1"/>
  <c r="M597" i="1"/>
  <c r="M821" i="1"/>
  <c r="M388" i="1"/>
  <c r="N228" i="1"/>
  <c r="M447" i="1"/>
  <c r="N308" i="1"/>
  <c r="N679" i="1"/>
  <c r="M36" i="1"/>
  <c r="N801" i="1"/>
  <c r="N931" i="1"/>
  <c r="N877" i="1"/>
  <c r="M467" i="1"/>
  <c r="O467" i="1" s="1"/>
  <c r="N129" i="1"/>
  <c r="M422" i="1"/>
  <c r="M493" i="1"/>
  <c r="O493" i="1" s="1"/>
  <c r="M369" i="1"/>
  <c r="N279" i="1"/>
  <c r="N990" i="1"/>
  <c r="N531" i="1"/>
  <c r="N22" i="1"/>
  <c r="M625" i="1"/>
  <c r="N967" i="1"/>
  <c r="M548" i="1"/>
  <c r="N899" i="1"/>
  <c r="N887" i="1"/>
  <c r="N994" i="1"/>
  <c r="N528" i="1"/>
  <c r="M750" i="1"/>
  <c r="M812" i="1"/>
  <c r="O812" i="1" s="1"/>
  <c r="N371" i="1"/>
  <c r="O371" i="1" s="1"/>
  <c r="M773" i="1"/>
  <c r="M28" i="1"/>
  <c r="M202" i="1"/>
  <c r="N202" i="1"/>
  <c r="M945" i="1"/>
  <c r="N952" i="1"/>
  <c r="M474" i="1"/>
  <c r="O474" i="1" s="1"/>
  <c r="M15" i="1"/>
  <c r="M333" i="1"/>
  <c r="M927" i="1"/>
  <c r="O927" i="1" s="1"/>
  <c r="N913" i="1"/>
  <c r="N473" i="1"/>
  <c r="N644" i="1"/>
  <c r="M386" i="1"/>
  <c r="N663" i="1"/>
  <c r="O663" i="1" s="1"/>
  <c r="N208" i="1"/>
  <c r="N865" i="1"/>
  <c r="N519" i="1"/>
  <c r="N859" i="1"/>
  <c r="M704" i="1"/>
  <c r="O704" i="1" s="1"/>
  <c r="M423" i="1"/>
  <c r="M813" i="1"/>
  <c r="M454" i="1"/>
  <c r="M482" i="1"/>
  <c r="M791" i="1"/>
  <c r="N382" i="1"/>
  <c r="M395" i="1"/>
  <c r="M674" i="1"/>
  <c r="M802" i="1"/>
  <c r="M261" i="1"/>
  <c r="M129" i="1"/>
  <c r="O129" i="1" s="1"/>
  <c r="M123" i="1"/>
  <c r="M701" i="1"/>
  <c r="N138" i="1"/>
  <c r="N940" i="1"/>
  <c r="N984" i="1"/>
  <c r="M944" i="1"/>
  <c r="O944" i="1" s="1"/>
  <c r="N195" i="1"/>
  <c r="N580" i="1"/>
  <c r="M466" i="1"/>
  <c r="O466" i="1" s="1"/>
  <c r="M97" i="1"/>
  <c r="O97" i="1" s="1"/>
  <c r="N70" i="1"/>
  <c r="N356" i="1"/>
  <c r="N599" i="1"/>
  <c r="M375" i="1"/>
  <c r="M669" i="1"/>
  <c r="M756" i="1"/>
  <c r="N734" i="1"/>
  <c r="N849" i="1"/>
  <c r="N437" i="1"/>
  <c r="M599" i="1"/>
  <c r="M32" i="1"/>
  <c r="M106" i="1"/>
  <c r="M932" i="1"/>
  <c r="M726" i="1"/>
  <c r="N159" i="1"/>
  <c r="N404" i="1"/>
  <c r="N372" i="1"/>
  <c r="N38" i="1"/>
  <c r="N115" i="1"/>
  <c r="M171" i="1"/>
  <c r="N282" i="1"/>
  <c r="N687" i="1"/>
  <c r="N292" i="1"/>
  <c r="M339" i="1"/>
  <c r="N988" i="1"/>
  <c r="N303" i="1"/>
  <c r="N818" i="1"/>
  <c r="N803" i="1"/>
  <c r="N479" i="1"/>
  <c r="M787" i="1"/>
  <c r="O787" i="1" s="1"/>
  <c r="N739" i="1"/>
  <c r="M832" i="1"/>
  <c r="M77" i="1"/>
  <c r="N240" i="1"/>
  <c r="N556" i="1"/>
  <c r="N962" i="1"/>
  <c r="M808" i="1"/>
  <c r="O808" i="1" s="1"/>
  <c r="M763" i="1"/>
  <c r="N80" i="1"/>
  <c r="M458" i="1"/>
  <c r="N439" i="1"/>
  <c r="M967" i="1"/>
  <c r="M689" i="1"/>
  <c r="N162" i="1"/>
  <c r="M295" i="1"/>
  <c r="N681" i="1"/>
  <c r="M342" i="1"/>
  <c r="N431" i="1"/>
  <c r="N459" i="1"/>
  <c r="M800" i="1"/>
  <c r="M490" i="1"/>
  <c r="N766" i="1"/>
  <c r="N920" i="1"/>
  <c r="N239" i="1"/>
  <c r="N438" i="1"/>
  <c r="N705" i="1"/>
  <c r="N991" i="1"/>
  <c r="N848" i="1"/>
  <c r="N249" i="1"/>
  <c r="M636" i="1"/>
  <c r="M656" i="1"/>
  <c r="M109" i="1"/>
  <c r="N941" i="1"/>
  <c r="N29" i="1"/>
  <c r="M823" i="1"/>
  <c r="O823" i="1" s="1"/>
  <c r="M39" i="1"/>
  <c r="M679" i="1"/>
  <c r="N869" i="1"/>
  <c r="M869" i="1"/>
  <c r="N749" i="1"/>
  <c r="N49" i="1"/>
  <c r="M329" i="1"/>
  <c r="M660" i="1"/>
  <c r="N78" i="1"/>
  <c r="N607" i="1"/>
  <c r="N691" i="1"/>
  <c r="N840" i="1"/>
  <c r="N90" i="1"/>
  <c r="M461" i="1"/>
  <c r="M297" i="1"/>
  <c r="N375" i="1"/>
  <c r="N956" i="1"/>
  <c r="M403" i="1"/>
  <c r="N773" i="1"/>
  <c r="M971" i="1"/>
  <c r="M396" i="1"/>
  <c r="N497" i="1"/>
  <c r="N727" i="1"/>
  <c r="N88" i="1"/>
  <c r="M743" i="1"/>
  <c r="N214" i="1"/>
  <c r="M141" i="1"/>
  <c r="M399" i="1"/>
  <c r="M406" i="1"/>
  <c r="N842" i="1"/>
  <c r="O842" i="1" s="1"/>
  <c r="N724" i="1"/>
  <c r="N635" i="1"/>
  <c r="M71" i="1"/>
  <c r="N571" i="1"/>
  <c r="M678" i="1"/>
  <c r="N701" i="1"/>
  <c r="M852" i="1"/>
  <c r="M621" i="1"/>
  <c r="O621" i="1" s="1"/>
  <c r="N959" i="1"/>
  <c r="N66" i="1"/>
  <c r="M641" i="1"/>
  <c r="M638" i="1"/>
  <c r="M835" i="1"/>
  <c r="O835" i="1" s="1"/>
  <c r="M507" i="1"/>
  <c r="M107" i="1"/>
  <c r="O107" i="1" s="1"/>
  <c r="N814" i="1"/>
  <c r="M976" i="1"/>
  <c r="N472" i="1"/>
  <c r="N579" i="1"/>
  <c r="N514" i="1"/>
  <c r="M111" i="1"/>
  <c r="N410" i="1"/>
  <c r="M145" i="1"/>
  <c r="O145" i="1" s="1"/>
  <c r="M450" i="1"/>
  <c r="N797" i="1"/>
  <c r="N523" i="1"/>
  <c r="M172" i="1"/>
  <c r="M814" i="1"/>
  <c r="N659" i="1"/>
  <c r="M670" i="1"/>
  <c r="M25" i="1"/>
  <c r="M457" i="1"/>
  <c r="M138" i="1"/>
  <c r="M724" i="1"/>
  <c r="M47" i="1"/>
  <c r="N587" i="1"/>
  <c r="N942" i="1"/>
  <c r="M566" i="1"/>
  <c r="N943" i="1"/>
  <c r="N774" i="1"/>
  <c r="M963" i="1"/>
  <c r="M840" i="1"/>
  <c r="N574" i="1"/>
  <c r="N979" i="1"/>
  <c r="M737" i="1"/>
  <c r="M514" i="1"/>
  <c r="N852" i="1"/>
  <c r="M313" i="1"/>
  <c r="O313" i="1" s="1"/>
  <c r="M992" i="1"/>
  <c r="M401" i="1"/>
  <c r="N144" i="1"/>
  <c r="O144" i="1" s="1"/>
  <c r="M956" i="1"/>
  <c r="M755" i="1"/>
  <c r="M902" i="1"/>
  <c r="M159" i="1"/>
  <c r="N706" i="1"/>
  <c r="N731" i="1"/>
  <c r="M745" i="1"/>
  <c r="N645" i="1"/>
  <c r="N819" i="1"/>
  <c r="M465" i="1"/>
  <c r="M245" i="1"/>
  <c r="N1009" i="1"/>
  <c r="M697" i="1"/>
  <c r="O697" i="1" s="1"/>
  <c r="N326" i="1"/>
  <c r="N430" i="1"/>
  <c r="M265" i="1"/>
  <c r="M676" i="1"/>
  <c r="O676" i="1" s="1"/>
  <c r="M229" i="1"/>
  <c r="M966" i="1"/>
  <c r="M806" i="1"/>
  <c r="M691" i="1"/>
  <c r="N102" i="1"/>
  <c r="O102" i="1" s="1"/>
  <c r="M269" i="1"/>
  <c r="M749" i="1"/>
  <c r="N127" i="1"/>
  <c r="M827" i="1"/>
  <c r="M259" i="1"/>
  <c r="O259" i="1" s="1"/>
  <c r="M810" i="1"/>
  <c r="O810" i="1" s="1"/>
  <c r="N915" i="1"/>
  <c r="M855" i="1"/>
  <c r="N989" i="1"/>
  <c r="M483" i="1"/>
  <c r="N661" i="1"/>
  <c r="M783" i="1"/>
  <c r="M451" i="1"/>
  <c r="M754" i="1"/>
  <c r="O754" i="1" s="1"/>
  <c r="N784" i="1"/>
  <c r="M119" i="1"/>
  <c r="N606" i="1"/>
  <c r="M595" i="1"/>
  <c r="M915" i="1"/>
  <c r="M219" i="1"/>
  <c r="N352" i="1"/>
  <c r="M206" i="1"/>
  <c r="M227" i="1"/>
  <c r="N316" i="1"/>
  <c r="N912" i="1"/>
  <c r="M158" i="1"/>
  <c r="N864" i="1"/>
  <c r="M826" i="1"/>
  <c r="M891" i="1"/>
  <c r="N760" i="1"/>
  <c r="M870" i="1"/>
  <c r="N827" i="1"/>
  <c r="M273" i="1"/>
  <c r="O273" i="1" s="1"/>
  <c r="N362" i="1"/>
  <c r="M439" i="1"/>
  <c r="N798" i="1"/>
  <c r="M864" i="1"/>
  <c r="N12" i="1"/>
  <c r="N547" i="1"/>
  <c r="M413" i="1"/>
  <c r="O413" i="1" s="1"/>
  <c r="M518" i="1"/>
  <c r="O518" i="1" s="1"/>
  <c r="N399" i="1"/>
  <c r="N711" i="1"/>
  <c r="N897" i="1"/>
  <c r="M572" i="1"/>
  <c r="N900" i="1"/>
  <c r="N815" i="1"/>
  <c r="N765" i="1"/>
  <c r="M515" i="1"/>
  <c r="M850" i="1"/>
  <c r="M374" i="1"/>
  <c r="N600" i="1"/>
  <c r="N918" i="1"/>
  <c r="M973" i="1"/>
  <c r="O973" i="1" s="1"/>
  <c r="N92" i="1"/>
  <c r="M459" i="1"/>
  <c r="M155" i="1"/>
  <c r="N256" i="1"/>
  <c r="N552" i="1"/>
  <c r="M854" i="1"/>
  <c r="O854" i="1" s="1"/>
  <c r="M928" i="1"/>
  <c r="M428" i="1"/>
  <c r="M866" i="1"/>
  <c r="N736" i="1"/>
  <c r="M498" i="1"/>
  <c r="N809" i="1"/>
  <c r="M373" i="1"/>
  <c r="N603" i="1"/>
  <c r="N370" i="1"/>
  <c r="N602" i="1"/>
  <c r="N596" i="1"/>
  <c r="N171" i="1"/>
  <c r="N804" i="1"/>
  <c r="M441" i="1"/>
  <c r="M931" i="1"/>
  <c r="O931" i="1" s="1"/>
  <c r="N262" i="1"/>
  <c r="M114" i="1"/>
  <c r="M56" i="1"/>
  <c r="N764" i="1"/>
  <c r="M103" i="1"/>
  <c r="N902" i="1"/>
  <c r="M523" i="1"/>
  <c r="N247" i="1"/>
  <c r="M283" i="1"/>
  <c r="N937" i="1"/>
  <c r="N366" i="1"/>
  <c r="N670" i="1"/>
  <c r="N669" i="1"/>
  <c r="N992" i="1"/>
  <c r="M442" i="1"/>
  <c r="M910" i="1"/>
  <c r="O910" i="1" s="1"/>
  <c r="M153" i="1"/>
  <c r="M585" i="1"/>
  <c r="O585" i="1" s="1"/>
  <c r="N558" i="1"/>
  <c r="O558" i="1" s="1"/>
  <c r="M91" i="1"/>
  <c r="N851" i="1"/>
  <c r="M222" i="1"/>
  <c r="M161" i="1"/>
  <c r="O161" i="1" s="1"/>
  <c r="N248" i="1"/>
  <c r="M535" i="1"/>
  <c r="M87" i="1"/>
  <c r="M553" i="1"/>
  <c r="O553" i="1" s="1"/>
  <c r="N960" i="1"/>
  <c r="M183" i="1"/>
  <c r="N584" i="1"/>
  <c r="M977" i="1"/>
  <c r="O977" i="1" s="1"/>
  <c r="M205" i="1"/>
  <c r="O205" i="1" s="1"/>
  <c r="N261" i="1"/>
  <c r="M191" i="1"/>
  <c r="M862" i="1"/>
  <c r="N666" i="1"/>
  <c r="M935" i="1"/>
  <c r="N693" i="1"/>
  <c r="M873" i="1"/>
  <c r="N149" i="1"/>
  <c r="M734" i="1"/>
  <c r="N61" i="1"/>
  <c r="N597" i="1"/>
  <c r="N224" i="1"/>
  <c r="M448" i="1"/>
  <c r="N397" i="1"/>
  <c r="M82" i="1"/>
  <c r="M600" i="1"/>
  <c r="N544" i="1"/>
  <c r="N298" i="1"/>
  <c r="N126" i="1"/>
  <c r="M590" i="1"/>
  <c r="N714" i="1"/>
  <c r="M677" i="1"/>
  <c r="O677" i="1" s="1"/>
  <c r="M875" i="1"/>
  <c r="N36" i="1"/>
  <c r="M291" i="1"/>
  <c r="O291" i="1" s="1"/>
  <c r="M996" i="1"/>
  <c r="O996" i="1" s="1"/>
  <c r="N675" i="1"/>
  <c r="O675" i="1" s="1"/>
  <c r="N482" i="1"/>
  <c r="O482" i="1" s="1"/>
  <c r="N351" i="1"/>
  <c r="N929" i="1"/>
  <c r="N811" i="1"/>
  <c r="N160" i="1"/>
  <c r="O160" i="1" s="1"/>
  <c r="N554" i="1"/>
  <c r="M746" i="1"/>
  <c r="O746" i="1" s="1"/>
  <c r="M391" i="1"/>
  <c r="O391" i="1" s="1"/>
  <c r="M187" i="1"/>
  <c r="M680" i="1"/>
  <c r="O680" i="1" s="1"/>
  <c r="N592" i="1"/>
  <c r="N668" i="1"/>
  <c r="N405" i="1"/>
  <c r="M632" i="1"/>
  <c r="N189" i="1"/>
  <c r="M400" i="1"/>
  <c r="N55" i="1"/>
  <c r="N60" i="1"/>
  <c r="O60" i="1" s="1"/>
  <c r="N525" i="1"/>
  <c r="M264" i="1"/>
  <c r="N468" i="1"/>
  <c r="M512" i="1"/>
  <c r="M877" i="1"/>
  <c r="M480" i="1"/>
  <c r="O480" i="1" s="1"/>
  <c r="N586" i="1"/>
  <c r="O586" i="1" s="1"/>
  <c r="N103" i="1"/>
  <c r="N56" i="1"/>
  <c r="N922" i="1"/>
  <c r="M833" i="1"/>
  <c r="N700" i="1"/>
  <c r="O700" i="1" s="1"/>
  <c r="N142" i="1"/>
  <c r="N785" i="1"/>
  <c r="N583" i="1"/>
  <c r="M315" i="1"/>
  <c r="N47" i="1"/>
  <c r="N264" i="1"/>
  <c r="N317" i="1"/>
  <c r="M23" i="1"/>
  <c r="M536" i="1"/>
  <c r="N141" i="1"/>
  <c r="N15" i="1"/>
  <c r="O15" i="1" s="1"/>
  <c r="M198" i="1"/>
  <c r="O198" i="1" s="1"/>
  <c r="M913" i="1"/>
  <c r="M121" i="1"/>
  <c r="M254" i="1"/>
  <c r="N652" i="1"/>
  <c r="M643" i="1"/>
  <c r="N911" i="1"/>
  <c r="N483" i="1"/>
  <c r="N876" i="1"/>
  <c r="N235" i="1"/>
  <c r="M733" i="1"/>
  <c r="N339" i="1"/>
  <c r="N280" i="1"/>
  <c r="M238" i="1"/>
  <c r="M759" i="1"/>
  <c r="M453" i="1"/>
  <c r="N958" i="1"/>
  <c r="N346" i="1"/>
  <c r="N683" i="1"/>
  <c r="M820" i="1"/>
  <c r="M761" i="1"/>
  <c r="M538" i="1"/>
  <c r="M357" i="1"/>
  <c r="O357" i="1" s="1"/>
  <c r="M207" i="1"/>
  <c r="O207" i="1" s="1"/>
  <c r="N319" i="1"/>
  <c r="N796" i="1"/>
  <c r="N699" i="1"/>
  <c r="O699" i="1" s="1"/>
  <c r="N969" i="1"/>
  <c r="N295" i="1"/>
  <c r="M640" i="1"/>
  <c r="M908" i="1"/>
  <c r="O908" i="1" s="1"/>
  <c r="N139" i="1"/>
  <c r="M355" i="1"/>
  <c r="N215" i="1"/>
  <c r="O215" i="1" s="1"/>
  <c r="M719" i="1"/>
  <c r="O719" i="1" s="1"/>
  <c r="M48" i="1"/>
  <c r="M201" i="1"/>
  <c r="M88" i="1"/>
  <c r="M1011" i="1"/>
  <c r="O1011" i="1" s="1"/>
  <c r="M591" i="1"/>
  <c r="N269" i="1"/>
  <c r="N331" i="1"/>
  <c r="N898" i="1"/>
  <c r="N921" i="1"/>
  <c r="O921" i="1" s="1"/>
  <c r="N155" i="1"/>
  <c r="N136" i="1"/>
  <c r="N619" i="1"/>
  <c r="O619" i="1" s="1"/>
  <c r="N33" i="1"/>
  <c r="M409" i="1"/>
  <c r="M975" i="1"/>
  <c r="N624" i="1"/>
  <c r="N130" i="1"/>
  <c r="O130" i="1" s="1"/>
  <c r="M211" i="1"/>
  <c r="N822" i="1"/>
  <c r="N445" i="1"/>
  <c r="O445" i="1" s="1"/>
  <c r="M464" i="1"/>
  <c r="O464" i="1" s="1"/>
  <c r="N188" i="1"/>
  <c r="N526" i="1"/>
  <c r="O526" i="1" s="1"/>
  <c r="M698" i="1"/>
  <c r="N728" i="1"/>
  <c r="M688" i="1"/>
  <c r="O688" i="1" s="1"/>
  <c r="M799" i="1"/>
  <c r="O799" i="1" s="1"/>
  <c r="M232" i="1"/>
  <c r="O232" i="1" s="1"/>
  <c r="N428" i="1"/>
  <c r="N974" i="1"/>
  <c r="N627" i="1"/>
  <c r="T23" i="1"/>
  <c r="U23" i="1" s="1"/>
  <c r="O317" i="1" l="1"/>
  <c r="O638" i="1"/>
  <c r="O265" i="1"/>
  <c r="O862" i="1"/>
  <c r="O929" i="1"/>
  <c r="O763" i="1"/>
  <c r="O625" i="1"/>
  <c r="O101" i="1"/>
  <c r="O491" i="1"/>
  <c r="O532" i="1"/>
  <c r="O953" i="1"/>
  <c r="O501" i="1"/>
  <c r="O830" i="1"/>
  <c r="O448" i="1"/>
  <c r="O43" i="1"/>
  <c r="O536" i="1"/>
  <c r="O136" i="1"/>
  <c r="O640" i="1"/>
  <c r="O238" i="1"/>
  <c r="O458" i="1"/>
  <c r="O29" i="1"/>
  <c r="O703" i="1"/>
  <c r="O538" i="1"/>
  <c r="O87" i="1"/>
  <c r="O114" i="1"/>
  <c r="O566" i="1"/>
  <c r="O410" i="1"/>
  <c r="O656" i="1"/>
  <c r="O813" i="1"/>
  <c r="O386" i="1"/>
  <c r="O485" i="1"/>
  <c r="O281" i="1"/>
  <c r="O30" i="1"/>
  <c r="O970" i="1"/>
  <c r="O478" i="1"/>
  <c r="O185" i="1"/>
  <c r="O728" i="1"/>
  <c r="O969" i="1"/>
  <c r="O339" i="1"/>
  <c r="O36" i="1"/>
  <c r="O403" i="1"/>
  <c r="O689" i="1"/>
  <c r="O218" i="1"/>
  <c r="O792" i="1"/>
  <c r="O575" i="1"/>
  <c r="O611" i="1"/>
  <c r="O757" i="1"/>
  <c r="O505" i="1"/>
  <c r="O489" i="1"/>
  <c r="O213" i="1"/>
  <c r="O980" i="1"/>
  <c r="O82" i="1"/>
  <c r="O442" i="1"/>
  <c r="O850" i="1"/>
  <c r="O595" i="1"/>
  <c r="O39" i="1"/>
  <c r="O487" i="1"/>
  <c r="O892" i="1"/>
  <c r="O58" i="1"/>
  <c r="O443" i="1"/>
  <c r="O28" i="1"/>
  <c r="O583" i="1"/>
  <c r="O55" i="1"/>
  <c r="O187" i="1"/>
  <c r="O960" i="1"/>
  <c r="O870" i="1"/>
  <c r="O450" i="1"/>
  <c r="O461" i="1"/>
  <c r="O208" i="1"/>
  <c r="O266" i="1"/>
  <c r="O117" i="1"/>
  <c r="O293" i="1"/>
  <c r="O748" i="1"/>
  <c r="O210" i="1"/>
  <c r="O124" i="1"/>
  <c r="O946" i="1"/>
  <c r="O616" i="1"/>
  <c r="O987" i="1"/>
  <c r="O622" i="1"/>
  <c r="O985" i="1"/>
  <c r="O88" i="1"/>
  <c r="O201" i="1"/>
  <c r="O761" i="1"/>
  <c r="O153" i="1"/>
  <c r="O283" i="1"/>
  <c r="O826" i="1"/>
  <c r="O465" i="1"/>
  <c r="O755" i="1"/>
  <c r="O636" i="1"/>
  <c r="O106" i="1"/>
  <c r="O425" i="1"/>
  <c r="O1004" i="1"/>
  <c r="O539" i="1"/>
  <c r="O895" i="1"/>
  <c r="O762" i="1"/>
  <c r="O569" i="1"/>
  <c r="O378" i="1"/>
  <c r="O563" i="1"/>
  <c r="O140" i="1"/>
  <c r="O549" i="1"/>
  <c r="O253" i="1"/>
  <c r="O867" i="1"/>
  <c r="O613" i="1"/>
  <c r="O396" i="1"/>
  <c r="O439" i="1"/>
  <c r="O41" i="1"/>
  <c r="O874" i="1"/>
  <c r="O200" i="1"/>
  <c r="O999" i="1"/>
  <c r="O164" i="1"/>
  <c r="O268" i="1"/>
  <c r="O94" i="1"/>
  <c r="O169" i="1"/>
  <c r="O517" i="1"/>
  <c r="O694" i="1"/>
  <c r="O878" i="1"/>
  <c r="O179" i="1"/>
  <c r="O890" i="1"/>
  <c r="O383" i="1"/>
  <c r="O939" i="1"/>
  <c r="O524" i="1"/>
  <c r="O152" i="1"/>
  <c r="O597" i="1"/>
  <c r="O726" i="1"/>
  <c r="O756" i="1"/>
  <c r="O805" i="1"/>
  <c r="O365" i="1"/>
  <c r="O40" i="1"/>
  <c r="O27" i="1"/>
  <c r="O673" i="1"/>
  <c r="O744" i="1"/>
  <c r="O723" i="1"/>
  <c r="O654" i="1"/>
  <c r="O495" i="1"/>
  <c r="O133" i="1"/>
  <c r="O226" i="1"/>
  <c r="O1002" i="1"/>
  <c r="O978" i="1"/>
  <c r="O380" i="1"/>
  <c r="O119" i="1"/>
  <c r="O797" i="1"/>
  <c r="O879" i="1"/>
  <c r="O334" i="1"/>
  <c r="O163" i="1"/>
  <c r="O288" i="1"/>
  <c r="O601" i="1"/>
  <c r="O81" i="1"/>
  <c r="O453" i="1"/>
  <c r="O91" i="1"/>
  <c r="O764" i="1"/>
  <c r="O866" i="1"/>
  <c r="O342" i="1"/>
  <c r="O422" i="1"/>
  <c r="O896" i="1"/>
  <c r="O182" i="1"/>
  <c r="O335" i="1"/>
  <c r="O125" i="1"/>
  <c r="O219" i="1"/>
  <c r="O737" i="1"/>
  <c r="O678" i="1"/>
  <c r="O388" i="1"/>
  <c r="O221" i="1"/>
  <c r="O972" i="1"/>
  <c r="O35" i="1"/>
  <c r="O573" i="1"/>
  <c r="O421" i="1"/>
  <c r="O898" i="1"/>
  <c r="O441" i="1"/>
  <c r="O419" i="1"/>
  <c r="O627" i="1"/>
  <c r="O331" i="1"/>
  <c r="O235" i="1"/>
  <c r="O315" i="1"/>
  <c r="O333" i="1"/>
  <c r="O820" i="1"/>
  <c r="O833" i="1"/>
  <c r="O149" i="1"/>
  <c r="O979" i="1"/>
  <c r="O63" i="1"/>
  <c r="O122" i="1"/>
  <c r="O203" i="1"/>
  <c r="O717" i="1"/>
  <c r="O845" i="1"/>
  <c r="O260" i="1"/>
  <c r="O542" i="1"/>
  <c r="O581" i="1"/>
  <c r="O875" i="1"/>
  <c r="O873" i="1"/>
  <c r="O800" i="1"/>
  <c r="O577" i="1"/>
  <c r="O1001" i="1"/>
  <c r="O831" i="1"/>
  <c r="O509" i="1"/>
  <c r="O684" i="1"/>
  <c r="O332" i="1"/>
  <c r="O147" i="1"/>
  <c r="O167" i="1"/>
  <c r="O498" i="1"/>
  <c r="O745" i="1"/>
  <c r="O961" i="1"/>
  <c r="O917" i="1"/>
  <c r="O974" i="1"/>
  <c r="O183" i="1"/>
  <c r="O171" i="1"/>
  <c r="O963" i="1"/>
  <c r="O865" i="1"/>
  <c r="O767" i="1"/>
  <c r="O861" i="1"/>
  <c r="O742" i="1"/>
  <c r="O243" i="1"/>
  <c r="O825" i="1"/>
  <c r="O653" i="1"/>
  <c r="O888" i="1"/>
  <c r="O296" i="1"/>
  <c r="O197" i="1"/>
  <c r="O428" i="1"/>
  <c r="O33" i="1"/>
  <c r="O591" i="1"/>
  <c r="O483" i="1"/>
  <c r="O590" i="1"/>
  <c r="O596" i="1"/>
  <c r="O706" i="1"/>
  <c r="O457" i="1"/>
  <c r="O123" i="1"/>
  <c r="O710" i="1"/>
  <c r="O24" i="1"/>
  <c r="O919" i="1"/>
  <c r="O770" i="1"/>
  <c r="O662" i="1"/>
  <c r="O903" i="1"/>
  <c r="O449" i="1"/>
  <c r="O589" i="1"/>
  <c r="O272" i="1"/>
  <c r="O302" i="1"/>
  <c r="O966" i="1"/>
  <c r="O245" i="1"/>
  <c r="O14" i="1"/>
  <c r="O778" i="1"/>
  <c r="O322" i="1"/>
  <c r="O304" i="1"/>
  <c r="O783" i="1"/>
  <c r="O802" i="1"/>
  <c r="O314" i="1"/>
  <c r="O794" i="1"/>
  <c r="O730" i="1"/>
  <c r="O254" i="1"/>
  <c r="O956" i="1"/>
  <c r="O679" i="1"/>
  <c r="O32" i="1"/>
  <c r="O984" i="1"/>
  <c r="O202" i="1"/>
  <c r="O1008" i="1"/>
  <c r="O671" i="1"/>
  <c r="O267" i="1"/>
  <c r="O981" i="1"/>
  <c r="O16" i="1"/>
  <c r="O387" i="1"/>
  <c r="O165" i="1"/>
  <c r="O633" i="1"/>
  <c r="O889" i="1"/>
  <c r="O376" i="1"/>
  <c r="O377" i="1"/>
  <c r="O53" i="1"/>
  <c r="O496" i="1"/>
  <c r="O502" i="1"/>
  <c r="O233" i="1"/>
  <c r="O121" i="1"/>
  <c r="O749" i="1"/>
  <c r="O743" i="1"/>
  <c r="O395" i="1"/>
  <c r="O64" i="1"/>
  <c r="O772" i="1"/>
  <c r="O112" i="1"/>
  <c r="O698" i="1"/>
  <c r="O683" i="1"/>
  <c r="O733" i="1"/>
  <c r="O362" i="1"/>
  <c r="O158" i="1"/>
  <c r="O346" i="1"/>
  <c r="O840" i="1"/>
  <c r="O77" i="1"/>
  <c r="O402" i="1"/>
  <c r="O521" i="1"/>
  <c r="O389" i="1"/>
  <c r="O186" i="1"/>
  <c r="O128" i="1"/>
  <c r="O832" i="1"/>
  <c r="O548" i="1"/>
  <c r="O429" i="1"/>
  <c r="O504" i="1"/>
  <c r="O468" i="1"/>
  <c r="O374" i="1"/>
  <c r="O490" i="1"/>
  <c r="O1010" i="1"/>
  <c r="O682" i="1"/>
  <c r="O522" i="1"/>
  <c r="O108" i="1"/>
  <c r="O48" i="1"/>
  <c r="O373" i="1"/>
  <c r="O814" i="1"/>
  <c r="O915" i="1"/>
  <c r="O913" i="1"/>
  <c r="O891" i="1"/>
  <c r="O231" i="1"/>
  <c r="O976" i="1"/>
  <c r="O868" i="1"/>
  <c r="O170" i="1"/>
  <c r="O769" i="1"/>
  <c r="O949" i="1"/>
  <c r="O470" i="1"/>
  <c r="O738" i="1"/>
  <c r="O986" i="1"/>
  <c r="O909" i="1"/>
  <c r="O934" i="1"/>
  <c r="O582" i="1"/>
  <c r="O188" i="1"/>
  <c r="O211" i="1"/>
  <c r="O409" i="1"/>
  <c r="O355" i="1"/>
  <c r="O295" i="1"/>
  <c r="O958" i="1"/>
  <c r="O280" i="1"/>
  <c r="O876" i="1"/>
  <c r="O652" i="1"/>
  <c r="O23" i="1"/>
  <c r="O512" i="1"/>
  <c r="O632" i="1"/>
  <c r="O554" i="1"/>
  <c r="O351" i="1"/>
  <c r="O734" i="1"/>
  <c r="O935" i="1"/>
  <c r="O229" i="1"/>
  <c r="O111" i="1"/>
  <c r="O297" i="1"/>
  <c r="O329" i="1"/>
  <c r="O423" i="1"/>
  <c r="O945" i="1"/>
  <c r="O758" i="1"/>
  <c r="O747" i="1"/>
  <c r="O436" i="1"/>
  <c r="O968" i="1"/>
  <c r="O37" i="1"/>
  <c r="O834" i="1"/>
  <c r="O674" i="1"/>
  <c r="O735" i="1"/>
  <c r="O523" i="1"/>
  <c r="O454" i="1"/>
  <c r="O155" i="1"/>
  <c r="O459" i="1"/>
  <c r="O138" i="1"/>
  <c r="O433" i="1"/>
  <c r="O65" i="1"/>
  <c r="O691" i="1"/>
  <c r="O278" i="1"/>
  <c r="O894" i="1"/>
  <c r="O47" i="1"/>
  <c r="O194" i="1"/>
  <c r="O132" i="1"/>
  <c r="O626" i="1"/>
  <c r="O398" i="1"/>
  <c r="O282" i="1"/>
  <c r="O992" i="1"/>
  <c r="O375" i="1"/>
  <c r="O26" i="1"/>
  <c r="O230" i="1"/>
  <c r="O56" i="1"/>
  <c r="O150" i="1"/>
  <c r="O701" i="1"/>
  <c r="O686" i="1"/>
  <c r="O366" i="1"/>
  <c r="O849" i="1"/>
  <c r="O687" i="1"/>
  <c r="O66" i="1"/>
  <c r="O604" i="1"/>
  <c r="O303" i="1"/>
  <c r="O437" i="1"/>
  <c r="O828" i="1"/>
  <c r="O367" i="1"/>
  <c r="O623" i="1"/>
  <c r="O997" i="1"/>
  <c r="O546" i="1"/>
  <c r="O239" i="1"/>
  <c r="O220" i="1"/>
  <c r="O838" i="1"/>
  <c r="O126" i="1"/>
  <c r="O982" i="1"/>
  <c r="O100" i="1"/>
  <c r="O631" i="1"/>
  <c r="O131" i="1"/>
  <c r="O715" i="1"/>
  <c r="O76" i="1"/>
  <c r="O156" i="1"/>
  <c r="O807" i="1"/>
  <c r="O22" i="1"/>
  <c r="O540" i="1"/>
  <c r="O471" i="1"/>
  <c r="O275" i="1"/>
  <c r="O781" i="1"/>
  <c r="O576" i="1"/>
  <c r="O912" i="1"/>
  <c r="O964" i="1"/>
  <c r="O871" i="1"/>
  <c r="O440" i="1"/>
  <c r="O848" i="1"/>
  <c r="O804" i="1"/>
  <c r="O54" i="1"/>
  <c r="O372" i="1"/>
  <c r="O488" i="1"/>
  <c r="O557" i="1"/>
  <c r="O721" i="1"/>
  <c r="O809" i="1"/>
  <c r="O920" i="1"/>
  <c r="O887" i="1"/>
  <c r="O928" i="1"/>
  <c r="O370" i="1"/>
  <c r="O12" i="1"/>
  <c r="O574" i="1"/>
  <c r="O195" i="1"/>
  <c r="O606" i="1"/>
  <c r="O681" i="1"/>
  <c r="O151" i="1"/>
  <c r="O415" i="1"/>
  <c r="O923" i="1"/>
  <c r="O305" i="1"/>
  <c r="O901" i="1"/>
  <c r="O947" i="1"/>
  <c r="O998" i="1"/>
  <c r="O789" i="1"/>
  <c r="O103" i="1"/>
  <c r="O227" i="1"/>
  <c r="O819" i="1"/>
  <c r="O942" i="1"/>
  <c r="O605" i="1"/>
  <c r="O630" i="1"/>
  <c r="O784" i="1"/>
  <c r="O236" i="1"/>
  <c r="O110" i="1"/>
  <c r="O75" i="1"/>
  <c r="O655" i="1"/>
  <c r="O289" i="1"/>
  <c r="O312" i="1"/>
  <c r="O759" i="1"/>
  <c r="O911" i="1"/>
  <c r="O141" i="1"/>
  <c r="O785" i="1"/>
  <c r="O922" i="1"/>
  <c r="O264" i="1"/>
  <c r="O400" i="1"/>
  <c r="O668" i="1"/>
  <c r="O811" i="1"/>
  <c r="O206" i="1"/>
  <c r="O806" i="1"/>
  <c r="O159" i="1"/>
  <c r="O25" i="1"/>
  <c r="O172" i="1"/>
  <c r="O852" i="1"/>
  <c r="O71" i="1"/>
  <c r="O406" i="1"/>
  <c r="O109" i="1"/>
  <c r="O967" i="1"/>
  <c r="O599" i="1"/>
  <c r="O447" i="1"/>
  <c r="O959" i="1"/>
  <c r="O181" i="1"/>
  <c r="O659" i="1"/>
  <c r="O70" i="1"/>
  <c r="O651" i="1"/>
  <c r="O884" i="1"/>
  <c r="O705" i="1"/>
  <c r="O90" i="1"/>
  <c r="O118" i="1"/>
  <c r="O593" i="1"/>
  <c r="O535" i="1"/>
  <c r="O105" i="1"/>
  <c r="O547" i="1"/>
  <c r="O473" i="1"/>
  <c r="O241" i="1"/>
  <c r="O712" i="1"/>
  <c r="O204" i="1"/>
  <c r="O798" i="1"/>
  <c r="O579" i="1"/>
  <c r="O641" i="1"/>
  <c r="O722" i="1"/>
  <c r="O249" i="1"/>
  <c r="O44" i="1"/>
  <c r="O988" i="1"/>
  <c r="O341" i="1"/>
  <c r="O516" i="1"/>
  <c r="O178" i="1"/>
  <c r="O916" i="1"/>
  <c r="O863" i="1"/>
  <c r="O885" i="1"/>
  <c r="O739" i="1"/>
  <c r="O274" i="1"/>
  <c r="O228" i="1"/>
  <c r="O209" i="1"/>
  <c r="O661" i="1"/>
  <c r="O62" i="1"/>
  <c r="O841" i="1"/>
  <c r="O287" i="1"/>
  <c r="O570" i="1"/>
  <c r="O19" i="1"/>
  <c r="O257" i="1"/>
  <c r="O991" i="1"/>
  <c r="O1007" i="1"/>
  <c r="O708" i="1"/>
  <c r="O766" i="1"/>
  <c r="O475" i="1"/>
  <c r="O311" i="1"/>
  <c r="O696" i="1"/>
  <c r="O666" i="1"/>
  <c r="O237" i="1"/>
  <c r="O846" i="1"/>
  <c r="O390" i="1"/>
  <c r="O692" i="1"/>
  <c r="O316" i="1"/>
  <c r="O310" i="1"/>
  <c r="O995" i="1"/>
  <c r="O531" i="1"/>
  <c r="O69" i="1"/>
  <c r="O543" i="1"/>
  <c r="O456" i="1"/>
  <c r="O324" i="1"/>
  <c r="O791" i="1"/>
  <c r="O918" i="1"/>
  <c r="O634" i="1"/>
  <c r="O753" i="1"/>
  <c r="O872" i="1"/>
  <c r="O444" i="1"/>
  <c r="O481" i="1"/>
  <c r="O843" i="1"/>
  <c r="O771" i="1"/>
  <c r="O286" i="1"/>
  <c r="O899" i="1"/>
  <c r="O1003" i="1"/>
  <c r="O354" i="1"/>
  <c r="O279" i="1"/>
  <c r="O720" i="1"/>
  <c r="O276" i="1"/>
  <c r="O858" i="1"/>
  <c r="O795" i="1"/>
  <c r="O924" i="1"/>
  <c r="O782" i="1"/>
  <c r="O893" i="1"/>
  <c r="O906" i="1"/>
  <c r="O363" i="1"/>
  <c r="O609" i="1"/>
  <c r="O837" i="1"/>
  <c r="O776" i="1"/>
  <c r="O434" i="1"/>
  <c r="O438" i="1"/>
  <c r="O426" i="1"/>
  <c r="O886" i="1"/>
  <c r="O494" i="1"/>
  <c r="O184" i="1"/>
  <c r="O614" i="1"/>
  <c r="O551" i="1"/>
  <c r="O50" i="1"/>
  <c r="O299" i="1"/>
  <c r="O853" i="1"/>
  <c r="O96" i="1"/>
  <c r="O420" i="1"/>
  <c r="O344" i="1"/>
  <c r="O251" i="1"/>
  <c r="O412" i="1"/>
  <c r="O34" i="1"/>
  <c r="O760" i="1"/>
  <c r="O635" i="1"/>
  <c r="O252" i="1"/>
  <c r="O59" i="1"/>
  <c r="O711" i="1"/>
  <c r="O284" i="1"/>
  <c r="O477" i="1"/>
  <c r="O360" i="1"/>
  <c r="O352" i="1"/>
  <c r="O190" i="1"/>
  <c r="O174" i="1"/>
  <c r="O564" i="1"/>
  <c r="O646" i="1"/>
  <c r="O157" i="1"/>
  <c r="O528" i="1"/>
  <c r="O242" i="1"/>
  <c r="O392" i="1"/>
  <c r="O31" i="1"/>
  <c r="O84" i="1"/>
  <c r="O13" i="1"/>
  <c r="O983" i="1"/>
  <c r="O325" i="1"/>
  <c r="O416" i="1"/>
  <c r="O435" i="1"/>
  <c r="O500" i="1"/>
  <c r="O455" i="1"/>
  <c r="O379" i="1"/>
  <c r="O193" i="1"/>
  <c r="O639" i="1"/>
  <c r="O408" i="1"/>
  <c r="O192" i="1"/>
  <c r="O600" i="1"/>
  <c r="O571" i="1"/>
  <c r="O727" i="1"/>
  <c r="O292" i="1"/>
  <c r="O729" i="1"/>
  <c r="O817" i="1"/>
  <c r="O431" i="1"/>
  <c r="O224" i="1"/>
  <c r="O965" i="1"/>
  <c r="O588" i="1"/>
  <c r="O404" i="1"/>
  <c r="O154" i="1"/>
  <c r="O948" i="1"/>
  <c r="O217" i="1"/>
  <c r="O777" i="1"/>
  <c r="O460" i="1"/>
  <c r="O143" i="1"/>
  <c r="O822" i="1"/>
  <c r="O975" i="1"/>
  <c r="O643" i="1"/>
  <c r="O142" i="1"/>
  <c r="O877" i="1"/>
  <c r="O592" i="1"/>
  <c r="O191" i="1"/>
  <c r="O222" i="1"/>
  <c r="O515" i="1"/>
  <c r="O572" i="1"/>
  <c r="O864" i="1"/>
  <c r="O451" i="1"/>
  <c r="O269" i="1"/>
  <c r="O902" i="1"/>
  <c r="O401" i="1"/>
  <c r="O514" i="1"/>
  <c r="O724" i="1"/>
  <c r="O670" i="1"/>
  <c r="O507" i="1"/>
  <c r="O399" i="1"/>
  <c r="O971" i="1"/>
  <c r="O660" i="1"/>
  <c r="O869" i="1"/>
  <c r="O932" i="1"/>
  <c r="O669" i="1"/>
  <c r="O261" i="1"/>
  <c r="O519" i="1"/>
  <c r="O952" i="1"/>
  <c r="O750" i="1"/>
  <c r="O369" i="1"/>
  <c r="O562" i="1"/>
  <c r="O95" i="1"/>
  <c r="O89" i="1"/>
  <c r="O525" i="1"/>
  <c r="O780" i="1"/>
  <c r="O859" i="1"/>
  <c r="O146" i="1"/>
  <c r="O612" i="1"/>
  <c r="O326" i="1"/>
  <c r="O775" i="1"/>
  <c r="O607" i="1"/>
  <c r="O250" i="1"/>
  <c r="O17" i="1"/>
  <c r="O533" i="1"/>
  <c r="O645" i="1"/>
  <c r="O714" i="1"/>
  <c r="O166" i="1"/>
  <c r="O925" i="1"/>
  <c r="O51" i="1"/>
  <c r="O492" i="1"/>
  <c r="O788" i="1"/>
  <c r="O989" i="1"/>
  <c r="O510" i="1"/>
  <c r="O1005" i="1"/>
  <c r="O223" i="1"/>
  <c r="O880" i="1"/>
  <c r="O801" i="1"/>
  <c r="O695" i="1"/>
  <c r="O499" i="1"/>
  <c r="O702" i="1"/>
  <c r="O300" i="1"/>
  <c r="O940" i="1"/>
  <c r="O786" i="1"/>
  <c r="O955" i="1"/>
  <c r="O882" i="1"/>
  <c r="O359" i="1"/>
  <c r="O821" i="1"/>
  <c r="O855" i="1"/>
  <c r="O545" i="1"/>
  <c r="O818" i="1"/>
  <c r="O86" i="1"/>
  <c r="O994" i="1"/>
  <c r="O446" i="1"/>
  <c r="O990" i="1"/>
  <c r="O405" i="1"/>
  <c r="O933" i="1"/>
  <c r="O615" i="1"/>
  <c r="O707" i="1"/>
  <c r="O348" i="1"/>
  <c r="O629" i="1"/>
  <c r="O559" i="1"/>
  <c r="O358" i="1"/>
  <c r="O774" i="1"/>
  <c r="O796" i="1"/>
  <c r="O175" i="1"/>
  <c r="O649" i="1"/>
  <c r="O713" i="1"/>
  <c r="O618" i="1"/>
  <c r="O602" i="1"/>
  <c r="O839" i="1"/>
  <c r="O740" i="1"/>
  <c r="O725" i="1"/>
  <c r="O857" i="1"/>
  <c r="O648" i="1"/>
  <c r="O690" i="1"/>
  <c r="O943" i="1"/>
  <c r="O752" i="1"/>
  <c r="O162" i="1"/>
  <c r="O598" i="1"/>
  <c r="O856" i="1"/>
  <c r="O508" i="1"/>
  <c r="O736" i="1"/>
  <c r="O650" i="1"/>
  <c r="O751" i="1"/>
  <c r="O930" i="1"/>
  <c r="O665" i="1"/>
  <c r="O309" i="1"/>
  <c r="O556" i="1"/>
  <c r="O1009" i="1"/>
  <c r="O393" i="1"/>
  <c r="O709" i="1"/>
  <c r="O290" i="1"/>
  <c r="O603" i="1"/>
  <c r="O815" i="1"/>
  <c r="O567" i="1"/>
  <c r="O962" i="1"/>
  <c r="O397" i="1"/>
  <c r="O905" i="1"/>
  <c r="O263" i="1"/>
  <c r="O83" i="1"/>
  <c r="O644" i="1"/>
  <c r="O196" i="1"/>
  <c r="O78" i="1"/>
  <c r="O497" i="1"/>
  <c r="O345" i="1"/>
  <c r="O46" i="1"/>
  <c r="O568" i="1"/>
  <c r="O479" i="1"/>
  <c r="O430" i="1"/>
  <c r="O580" i="1"/>
  <c r="O418" i="1"/>
  <c r="O240" i="1"/>
  <c r="O476" i="1"/>
  <c r="O323" i="1"/>
  <c r="O294" i="1"/>
  <c r="O452" i="1"/>
  <c r="O565" i="1"/>
  <c r="O189" i="1"/>
  <c r="O384" i="1"/>
  <c r="O658" i="1"/>
  <c r="O148" i="1"/>
  <c r="O180" i="1"/>
  <c r="O790" i="1"/>
  <c r="O529" i="1"/>
  <c r="O45" i="1"/>
  <c r="O552" i="1"/>
  <c r="O353" i="1"/>
  <c r="O765" i="1"/>
  <c r="O212" i="1"/>
  <c r="O80" i="1"/>
  <c r="O382" i="1"/>
  <c r="O104" i="1"/>
  <c r="O57" i="1"/>
  <c r="O116" i="1"/>
  <c r="O628" i="1"/>
  <c r="O793" i="1"/>
  <c r="O608" i="1"/>
  <c r="O18" i="1"/>
  <c r="O72" i="1"/>
  <c r="O541" i="1"/>
  <c r="O950" i="1"/>
  <c r="O827" i="1"/>
  <c r="O773" i="1"/>
  <c r="O214" i="1"/>
  <c r="O741" i="1"/>
  <c r="O319" i="1"/>
  <c r="O484" i="1"/>
  <c r="O1006" i="1"/>
  <c r="O139" i="1"/>
  <c r="O350" i="1"/>
  <c r="O271" i="1"/>
  <c r="O816" i="1"/>
  <c r="O414" i="1"/>
  <c r="O262" i="1"/>
  <c r="O247" i="1"/>
  <c r="O938" i="1"/>
  <c r="O647" i="1"/>
  <c r="O672" i="1"/>
  <c r="O277" i="1"/>
  <c r="O92" i="1"/>
  <c r="O897" i="1"/>
  <c r="O779" i="1"/>
  <c r="O937" i="1"/>
  <c r="O941" i="1"/>
  <c r="O432" i="1"/>
  <c r="O993" i="1"/>
  <c r="O307" i="1"/>
  <c r="O900" i="1"/>
  <c r="O127" i="1"/>
  <c r="O560" i="1"/>
  <c r="O99" i="1"/>
  <c r="O115" i="1"/>
  <c r="O693" i="1"/>
  <c r="O844" i="1"/>
  <c r="O951" i="1"/>
  <c r="O851" i="1"/>
  <c r="O503" i="1"/>
  <c r="O803" i="1"/>
  <c r="O881" i="1"/>
  <c r="O685" i="1"/>
  <c r="O338" i="1"/>
  <c r="O258" i="1"/>
  <c r="O664" i="1"/>
  <c r="O667" i="1"/>
  <c r="O298" i="1"/>
  <c r="O134" i="1"/>
  <c r="O768" i="1"/>
  <c r="O926" i="1"/>
  <c r="O270" i="1"/>
  <c r="O427" i="1"/>
  <c r="O61" i="1"/>
  <c r="O544" i="1"/>
  <c r="O587" i="1"/>
  <c r="O731" i="1"/>
  <c r="O394" i="1"/>
  <c r="O248" i="1"/>
  <c r="O555" i="1"/>
  <c r="O356" i="1"/>
  <c r="O21" i="1"/>
  <c r="O364" i="1"/>
  <c r="O74" i="1"/>
  <c r="O486" i="1"/>
  <c r="O320" i="1"/>
  <c r="O68" i="1"/>
  <c r="O914" i="1"/>
  <c r="O177" i="1"/>
  <c r="O417" i="1"/>
  <c r="O424" i="1"/>
  <c r="O610" i="1"/>
  <c r="O550" i="1"/>
  <c r="O168" i="1"/>
  <c r="O234" i="1"/>
  <c r="O620" i="1"/>
  <c r="O42" i="1"/>
  <c r="O135" i="1"/>
  <c r="O624" i="1"/>
  <c r="O824" i="1"/>
  <c r="O1000" i="1"/>
  <c r="O530" i="1"/>
  <c r="O308" i="1"/>
  <c r="O199" i="1"/>
  <c r="O347" i="1"/>
  <c r="O718" i="1"/>
  <c r="O173" i="1"/>
  <c r="O584" i="1"/>
  <c r="O20" i="1"/>
  <c r="O472" i="1"/>
  <c r="O340" i="1"/>
  <c r="O49" i="1"/>
  <c r="O330" i="1"/>
  <c r="O306" i="1"/>
  <c r="O336" i="1"/>
  <c r="O407" i="1"/>
  <c r="O244" i="1"/>
  <c r="O368" i="1"/>
  <c r="O38" i="1"/>
  <c r="O120" i="1"/>
  <c r="O328" i="1"/>
  <c r="O256" i="1"/>
  <c r="O216" i="1"/>
  <c r="T24" i="1"/>
  <c r="U24" i="1" s="1"/>
  <c r="Q11" i="1" l="1"/>
  <c r="T25" i="1"/>
  <c r="U25" i="1" s="1"/>
  <c r="T26" i="1" l="1"/>
  <c r="U26" i="1" s="1"/>
  <c r="T27" i="1" l="1"/>
  <c r="U27" i="1" s="1"/>
  <c r="T28" i="1" l="1"/>
  <c r="U28" i="1" s="1"/>
  <c r="T29" i="1" l="1"/>
  <c r="U29" i="1" s="1"/>
  <c r="T30" i="1" l="1"/>
  <c r="U30" i="1" s="1"/>
  <c r="T31" i="1" l="1"/>
  <c r="U31" i="1" s="1"/>
  <c r="T32" i="1" l="1"/>
  <c r="U32" i="1" s="1"/>
  <c r="T33" i="1" l="1"/>
  <c r="U33" i="1" s="1"/>
  <c r="T34" i="1" l="1"/>
  <c r="U34" i="1" s="1"/>
  <c r="T35" i="1" l="1"/>
  <c r="U35" i="1" s="1"/>
  <c r="T36" i="1" l="1"/>
  <c r="U36" i="1" s="1"/>
  <c r="T37" i="1" l="1"/>
  <c r="U37" i="1" s="1"/>
  <c r="T38" i="1" l="1"/>
  <c r="U38" i="1" s="1"/>
  <c r="T40" i="1" l="1"/>
  <c r="U41" i="1" s="1"/>
  <c r="T39" i="1"/>
  <c r="U39" i="1" s="1"/>
  <c r="U40" i="1" l="1"/>
</calcChain>
</file>

<file path=xl/comments1.xml><?xml version="1.0" encoding="utf-8"?>
<comments xmlns="http://schemas.openxmlformats.org/spreadsheetml/2006/main">
  <authors>
    <author>Euclides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jcontreras: cambia la correlación (entre 0 y 1)  y comprueba el efecto en el histograma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<sst xmlns="http://schemas.openxmlformats.org/spreadsheetml/2006/main" count="1616" uniqueCount="1616">
  <si>
    <t>rho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</si>
  <si>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</si>
  <si>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</si>
  <si>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</si>
  <si>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</si>
  <si>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</si>
  <si>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</si>
  <si>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</si>
  <si>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</si>
  <si>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</si>
  <si>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</si>
  <si>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</si>
  <si>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</si>
  <si>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</si>
  <si>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</si>
  <si>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</si>
  <si>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</si>
  <si>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</si>
  <si>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</si>
  <si>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</si>
  <si>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</si>
  <si>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</si>
  <si>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</si>
  <si>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</si>
  <si>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</si>
  <si>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</si>
  <si>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</si>
  <si>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</si>
  <si>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</si>
  <si>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</si>
  <si>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</si>
  <si>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</si>
  <si>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</si>
  <si>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</si>
  <si>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</si>
  <si>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</si>
  <si>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</si>
  <si>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</si>
  <si>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</si>
  <si>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</si>
  <si>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</si>
  <si>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</si>
  <si>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</si>
  <si>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</si>
  <si>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</si>
  <si>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</si>
  <si>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</si>
  <si>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</si>
  <si>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</si>
  <si>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</si>
  <si>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</si>
  <si>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</si>
  <si>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</si>
  <si>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</si>
  <si>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</si>
  <si>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</si>
  <si>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</si>
  <si>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</si>
  <si>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</si>
  <si>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</si>
  <si>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</si>
  <si>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</si>
  <si>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</si>
  <si>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</si>
  <si>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</si>
  <si>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</si>
  <si>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</si>
  <si>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</si>
  <si>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</si>
  <si>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</si>
  <si>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</si>
  <si>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</si>
  <si>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</si>
  <si>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</si>
  <si>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</si>
  <si>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</si>
  <si>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</si>
  <si>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</si>
  <si>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</si>
  <si>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</si>
  <si>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</si>
  <si>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</si>
  <si>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</si>
  <si>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</si>
  <si>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</si>
  <si>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</si>
  <si>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</si>
  <si>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</si>
  <si>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</si>
  <si>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</si>
  <si>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</si>
  <si>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</si>
  <si>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</si>
  <si>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</si>
  <si>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</si>
  <si>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</si>
  <si>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</si>
  <si>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</si>
  <si>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</si>
  <si>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</si>
  <si>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</si>
  <si>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</si>
  <si>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</si>
  <si>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</si>
  <si>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</si>
  <si>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</si>
  <si>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</si>
  <si>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</si>
  <si>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</si>
  <si>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</si>
  <si>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</si>
  <si>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</si>
  <si>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</si>
  <si>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</si>
  <si>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</si>
  <si>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</si>
  <si>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</si>
  <si>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</si>
  <si>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</si>
  <si>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</si>
  <si>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</si>
  <si>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</si>
  <si>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</si>
  <si>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</si>
  <si>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</si>
  <si>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</si>
  <si>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</si>
  <si>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</si>
  <si>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</si>
  <si>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</si>
  <si>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</si>
  <si>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</si>
  <si>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</si>
  <si>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</si>
  <si>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</si>
  <si>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</si>
  <si>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</si>
  <si>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</si>
  <si>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</si>
  <si>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</si>
  <si>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</si>
  <si>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</si>
  <si>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</si>
  <si>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</si>
  <si>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</si>
  <si>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</si>
  <si>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</si>
  <si>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</si>
  <si>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</si>
  <si>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</si>
  <si>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</si>
  <si>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</si>
  <si>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</si>
  <si>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</si>
  <si>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</si>
  <si>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</si>
  <si>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</si>
  <si>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</si>
  <si>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</si>
  <si>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</si>
  <si>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epsilon</t>
  </si>
  <si>
    <t>proporción</t>
  </si>
  <si>
    <t>sigma</t>
  </si>
  <si>
    <t>Y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</si>
  <si>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</si>
  <si>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</si>
  <si>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</si>
  <si>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</si>
  <si>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</si>
  <si>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</si>
  <si>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</si>
  <si>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</si>
  <si>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</si>
  <si>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</si>
  <si>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</si>
  <si>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</si>
  <si>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</si>
  <si>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</si>
  <si>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</si>
  <si>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</si>
  <si>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</si>
  <si>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</si>
  <si>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</si>
  <si>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</si>
  <si>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</si>
  <si>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</si>
  <si>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</si>
  <si>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</si>
  <si>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</si>
  <si>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</si>
  <si>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</si>
  <si>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</si>
  <si>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</si>
  <si>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</si>
  <si>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</si>
  <si>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</si>
  <si>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</si>
  <si>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</si>
  <si>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</si>
  <si>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</si>
  <si>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</si>
  <si>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</si>
  <si>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</si>
  <si>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</si>
  <si>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</si>
  <si>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</si>
  <si>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</si>
  <si>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</si>
  <si>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</si>
  <si>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</si>
  <si>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</si>
  <si>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</si>
  <si>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</si>
  <si>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</si>
  <si>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</si>
  <si>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</si>
  <si>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</si>
  <si>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</si>
  <si>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</si>
  <si>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</si>
  <si>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</si>
  <si>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</si>
  <si>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</si>
  <si>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</si>
  <si>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</si>
  <si>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</si>
  <si>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</si>
  <si>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</si>
  <si>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</si>
  <si>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</si>
  <si>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</si>
  <si>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</si>
  <si>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</si>
  <si>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</si>
  <si>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</si>
  <si>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</si>
  <si>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</si>
  <si>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</si>
  <si>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</si>
  <si>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</si>
  <si>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</si>
  <si>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</si>
  <si>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</si>
  <si>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</si>
  <si>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</si>
  <si>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</si>
  <si>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</si>
  <si>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</si>
  <si>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</si>
  <si>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</si>
  <si>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</si>
  <si>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</si>
  <si>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</si>
  <si>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</si>
  <si>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</si>
  <si>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</si>
  <si>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</si>
  <si>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</si>
  <si>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</si>
  <si>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</si>
  <si>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</si>
  <si>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</si>
  <si>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</si>
  <si>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</si>
  <si>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</si>
  <si>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</si>
  <si>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</si>
  <si>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</si>
  <si>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</si>
  <si>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</si>
  <si>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</si>
  <si>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</si>
  <si>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</si>
  <si>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</si>
  <si>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</si>
  <si>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</si>
  <si>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</si>
  <si>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</si>
  <si>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</si>
  <si>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</si>
  <si>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</si>
  <si>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</si>
  <si>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</si>
  <si>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</si>
  <si>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</si>
  <si>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</si>
  <si>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</si>
  <si>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</si>
  <si>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</si>
  <si>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</si>
  <si>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</si>
  <si>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</si>
  <si>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</si>
  <si>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</si>
  <si>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</si>
  <si>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</si>
  <si>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</si>
  <si>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</si>
  <si>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</si>
  <si>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</si>
  <si>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Z137</t>
  </si>
  <si>
    <t>Z138</t>
  </si>
  <si>
    <t>Z139</t>
  </si>
  <si>
    <t>Z140</t>
  </si>
  <si>
    <t>Z141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</si>
  <si>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</si>
  <si>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</si>
  <si>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</si>
  <si>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</si>
  <si>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</si>
  <si>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</si>
  <si>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</si>
  <si>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</si>
  <si>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</si>
  <si>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</si>
  <si>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</si>
  <si>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</si>
  <si>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</si>
  <si>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</si>
  <si>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</si>
  <si>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</si>
  <si>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</si>
  <si>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</si>
  <si>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</si>
  <si>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</si>
  <si>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</si>
  <si>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</si>
  <si>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</si>
  <si>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</si>
  <si>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</si>
  <si>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</si>
  <si>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</si>
  <si>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</si>
  <si>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Z170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</si>
  <si>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</si>
  <si>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</si>
  <si>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</si>
  <si>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</si>
  <si>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</si>
  <si>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</si>
  <si>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</si>
  <si>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</si>
  <si>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</si>
  <si>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Z180</t>
  </si>
  <si>
    <t>Z181</t>
  </si>
  <si>
    <t>Z182</t>
  </si>
  <si>
    <t>Z183</t>
  </si>
  <si>
    <t>Z184</t>
  </si>
  <si>
    <t>Z185</t>
  </si>
  <si>
    <t>Z186</t>
  </si>
  <si>
    <t>Z187</t>
  </si>
  <si>
    <t>Z188</t>
  </si>
  <si>
    <t>Z189</t>
  </si>
  <si>
    <t>Z190</t>
  </si>
  <si>
    <t>Z191</t>
  </si>
  <si>
    <t>Z192</t>
  </si>
  <si>
    <t>Z193</t>
  </si>
  <si>
    <t>Z194</t>
  </si>
  <si>
    <t>Z195</t>
  </si>
  <si>
    <t>Z196</t>
  </si>
  <si>
    <t>Z197</t>
  </si>
  <si>
    <t>Z198</t>
  </si>
  <si>
    <t>Z199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</si>
  <si>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</si>
  <si>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</si>
  <si>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</si>
  <si>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</si>
  <si>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</si>
  <si>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</si>
  <si>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</si>
  <si>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</si>
  <si>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</si>
  <si>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</si>
  <si>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Z210</t>
  </si>
  <si>
    <t>Z211</t>
  </si>
  <si>
    <t>Z212</t>
  </si>
  <si>
    <t>Z213</t>
  </si>
  <si>
    <t>Z214</t>
  </si>
  <si>
    <t>Z215</t>
  </si>
  <si>
    <t>Z216</t>
  </si>
  <si>
    <t>Z217</t>
  </si>
  <si>
    <t>Z218</t>
  </si>
  <si>
    <t>Z219</t>
  </si>
  <si>
    <t>Z220</t>
  </si>
  <si>
    <t>Z221</t>
  </si>
  <si>
    <t>Z222</t>
  </si>
  <si>
    <t>Z223</t>
  </si>
  <si>
    <t>Z224</t>
  </si>
  <si>
    <t>Z225</t>
  </si>
  <si>
    <t>Z226</t>
  </si>
  <si>
    <t>Z227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</si>
  <si>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</si>
  <si>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</si>
  <si>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</si>
  <si>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</si>
  <si>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</si>
  <si>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</si>
  <si>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</si>
  <si>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</si>
  <si>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</si>
  <si>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</si>
  <si>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</si>
  <si>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</si>
  <si>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</si>
  <si>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</si>
  <si>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</si>
  <si>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</si>
  <si>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</si>
  <si>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</si>
  <si>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</si>
  <si>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</si>
  <si>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</si>
  <si>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</si>
  <si>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</si>
  <si>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</si>
  <si>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</si>
  <si>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</si>
  <si>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</si>
  <si>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</si>
  <si>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</si>
  <si>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</si>
  <si>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</si>
  <si>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</si>
  <si>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</si>
  <si>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</si>
  <si>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</si>
  <si>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</si>
  <si>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</si>
  <si>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</si>
  <si>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</si>
  <si>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</si>
  <si>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</si>
  <si>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</si>
  <si>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</si>
  <si>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</si>
  <si>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</si>
  <si>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</si>
  <si>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</si>
  <si>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</si>
  <si>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</si>
  <si>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</si>
  <si>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</si>
  <si>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</si>
  <si>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Z280</t>
  </si>
  <si>
    <t>Z281</t>
  </si>
  <si>
    <t>Z282</t>
  </si>
  <si>
    <t>Z283</t>
  </si>
  <si>
    <t>Z284</t>
  </si>
  <si>
    <t>Z285</t>
  </si>
  <si>
    <t>Z286</t>
  </si>
  <si>
    <t>Z287</t>
  </si>
  <si>
    <t>Z288</t>
  </si>
  <si>
    <t>Z289</t>
  </si>
  <si>
    <t>Z290</t>
  </si>
  <si>
    <t>Z291</t>
  </si>
  <si>
    <t>Z292</t>
  </si>
  <si>
    <t>Z293</t>
  </si>
  <si>
    <t>Z294</t>
  </si>
  <si>
    <t>Z295</t>
  </si>
  <si>
    <t>Z296</t>
  </si>
  <si>
    <t>una simulación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</si>
  <si>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</si>
  <si>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</si>
  <si>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</si>
  <si>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</si>
  <si>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</si>
  <si>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</si>
  <si>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</si>
  <si>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</si>
  <si>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</si>
  <si>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</si>
  <si>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</si>
  <si>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</si>
  <si>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</si>
  <si>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</si>
  <si>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</si>
  <si>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</si>
  <si>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</si>
  <si>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</si>
  <si>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</si>
  <si>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</si>
  <si>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</si>
  <si>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</si>
  <si>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</si>
  <si>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</si>
  <si>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</si>
  <si>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</si>
  <si>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</si>
  <si>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</si>
  <si>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</si>
  <si>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</si>
  <si>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</si>
  <si>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</si>
  <si>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</si>
  <si>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</si>
  <si>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</si>
  <si>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</si>
  <si>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</si>
  <si>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</si>
  <si>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</si>
  <si>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</si>
  <si>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</si>
  <si>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</si>
  <si>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</si>
  <si>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</si>
  <si>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</si>
  <si>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</si>
  <si>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</si>
  <si>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</si>
  <si>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</si>
  <si>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</si>
  <si>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</si>
  <si>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</si>
  <si>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</si>
  <si>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</si>
  <si>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</si>
  <si>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</si>
  <si>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</si>
  <si>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</si>
  <si>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</si>
  <si>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</si>
  <si>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</si>
  <si>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</si>
  <si>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</si>
  <si>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</si>
  <si>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</si>
  <si>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</si>
  <si>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</si>
  <si>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</si>
  <si>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</si>
  <si>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</si>
  <si>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</si>
  <si>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</si>
  <si>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</si>
  <si>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</si>
  <si>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</si>
  <si>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</si>
  <si>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</si>
  <si>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</si>
  <si>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</si>
  <si>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</si>
  <si>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</si>
  <si>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</si>
  <si>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</si>
  <si>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</si>
  <si>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</si>
  <si>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</si>
  <si>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</si>
  <si>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</si>
  <si>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</si>
  <si>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</si>
  <si>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</si>
  <si>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</si>
  <si>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</si>
  <si>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</si>
  <si>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</si>
  <si>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</si>
  <si>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</si>
  <si>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</si>
  <si>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</si>
  <si>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</si>
  <si>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</si>
  <si>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</si>
  <si>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</si>
  <si>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</si>
  <si>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</si>
  <si>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</si>
  <si>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</si>
  <si>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</si>
  <si>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</si>
  <si>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</si>
  <si>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</si>
  <si>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</si>
  <si>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</si>
  <si>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</si>
  <si>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</si>
  <si>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</si>
  <si>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</si>
  <si>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</si>
  <si>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</si>
  <si>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</si>
  <si>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</si>
  <si>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</si>
  <si>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</si>
  <si>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</si>
  <si>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</si>
  <si>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</si>
  <si>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</si>
  <si>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</si>
  <si>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</si>
  <si>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</si>
  <si>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</si>
  <si>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</si>
  <si>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</si>
  <si>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</si>
  <si>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</si>
  <si>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</si>
  <si>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</si>
  <si>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</si>
  <si>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</si>
  <si>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</si>
  <si>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</si>
  <si>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</si>
  <si>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</si>
  <si>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</si>
  <si>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</si>
  <si>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</si>
  <si>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</si>
  <si>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</si>
  <si>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</si>
  <si>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</si>
  <si>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</si>
  <si>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</si>
  <si>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</si>
  <si>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</si>
  <si>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</si>
  <si>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</si>
  <si>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</si>
  <si>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</si>
  <si>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</si>
  <si>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</si>
  <si>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</si>
  <si>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</si>
  <si>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</si>
  <si>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</si>
  <si>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</si>
  <si>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</si>
  <si>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</si>
  <si>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</si>
  <si>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</si>
  <si>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</si>
  <si>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</si>
  <si>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</si>
  <si>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</si>
  <si>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</si>
  <si>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</si>
  <si>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</si>
  <si>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</si>
  <si>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</si>
  <si>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</si>
  <si>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</si>
  <si>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</si>
  <si>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</si>
  <si>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</si>
  <si>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</si>
  <si>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</si>
  <si>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</si>
  <si>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</si>
  <si>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</si>
  <si>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</si>
  <si>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</si>
  <si>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</si>
  <si>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</si>
  <si>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</si>
  <si>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</si>
  <si>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</si>
  <si>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</si>
  <si>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</si>
  <si>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</si>
  <si>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</si>
  <si>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</si>
  <si>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</si>
  <si>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</si>
  <si>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</si>
  <si>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</si>
  <si>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</si>
  <si>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</si>
  <si>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</si>
  <si>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</si>
  <si>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</si>
  <si>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</si>
  <si>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</si>
  <si>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</si>
  <si>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</si>
  <si>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</si>
  <si>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</si>
  <si>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</si>
  <si>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</si>
  <si>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</si>
  <si>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</si>
  <si>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</si>
  <si>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</si>
  <si>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</si>
  <si>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</si>
  <si>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</si>
  <si>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</si>
  <si>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</si>
  <si>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</si>
  <si>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</si>
  <si>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</si>
  <si>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</si>
  <si>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</si>
  <si>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</si>
  <si>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</si>
  <si>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</si>
  <si>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</si>
  <si>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</si>
  <si>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</si>
  <si>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</si>
  <si>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</si>
  <si>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</si>
  <si>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</si>
  <si>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</si>
  <si>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</si>
  <si>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</si>
  <si>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</si>
  <si>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</si>
  <si>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</si>
  <si>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</si>
  <si>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</si>
  <si>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</si>
  <si>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</si>
  <si>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</si>
  <si>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</si>
  <si>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</si>
  <si>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</si>
  <si>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</si>
  <si>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</si>
  <si>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</si>
  <si>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</si>
  <si>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</si>
  <si>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</si>
  <si>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</si>
  <si>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</si>
  <si>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</si>
  <si>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</si>
  <si>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</si>
  <si>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</si>
  <si>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</si>
  <si>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</si>
  <si>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</si>
  <si>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</si>
  <si>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</si>
  <si>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</si>
  <si>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</si>
  <si>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</si>
  <si>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</si>
  <si>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</si>
  <si>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</si>
  <si>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</si>
  <si>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</si>
  <si>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</si>
  <si>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</si>
  <si>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</si>
  <si>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</si>
  <si>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</si>
  <si>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</si>
  <si>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</si>
  <si>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</si>
  <si>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</si>
  <si>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</si>
  <si>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</si>
  <si>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</si>
  <si>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</si>
  <si>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</si>
  <si>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</si>
  <si>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</si>
  <si>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p</t>
  </si>
  <si>
    <t>N</t>
  </si>
  <si>
    <t>suma</t>
  </si>
  <si>
    <t>N*E(X)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</si>
  <si>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</si>
  <si>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</si>
  <si>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</si>
  <si>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</si>
  <si>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</si>
  <si>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</si>
  <si>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</si>
  <si>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</si>
  <si>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</si>
  <si>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</si>
  <si>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</si>
  <si>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</si>
  <si>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</si>
  <si>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</si>
  <si>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</si>
  <si>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</si>
  <si>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</si>
  <si>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</si>
  <si>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</si>
  <si>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</si>
  <si>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</si>
  <si>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</si>
  <si>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</si>
  <si>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</si>
  <si>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</si>
  <si>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</si>
  <si>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</si>
  <si>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</si>
  <si>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</si>
  <si>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</si>
  <si>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</si>
  <si>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</si>
  <si>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</si>
  <si>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</si>
  <si>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</si>
  <si>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</si>
  <si>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</si>
  <si>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</si>
  <si>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</si>
  <si>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</si>
  <si>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</si>
  <si>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</si>
  <si>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</si>
  <si>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</si>
  <si>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</si>
  <si>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</si>
  <si>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</si>
  <si>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</si>
  <si>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</si>
  <si>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</si>
  <si>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</si>
  <si>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</si>
  <si>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</si>
  <si>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</si>
  <si>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</si>
  <si>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</si>
  <si>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</si>
  <si>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</si>
  <si>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</si>
  <si>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</si>
  <si>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</si>
  <si>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</si>
  <si>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</si>
  <si>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</si>
  <si>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</si>
  <si>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</si>
  <si>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</si>
  <si>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</si>
  <si>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</si>
  <si>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</si>
  <si>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</si>
  <si>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</si>
  <si>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</si>
  <si>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</si>
  <si>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</si>
  <si>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</si>
  <si>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</si>
  <si>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</si>
  <si>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</si>
  <si>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</si>
  <si>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</si>
  <si>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</si>
  <si>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</si>
  <si>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</si>
  <si>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</si>
  <si>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</si>
  <si>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</si>
  <si>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</si>
  <si>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</si>
  <si>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</si>
  <si>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</si>
  <si>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</si>
  <si>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</si>
  <si>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</si>
  <si>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</si>
  <si>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</si>
  <si>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</si>
  <si>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</si>
  <si>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</si>
  <si>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</si>
  <si>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</si>
  <si>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</si>
  <si>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</si>
  <si>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</si>
  <si>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</si>
  <si>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</si>
  <si>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</si>
  <si>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</si>
  <si>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</si>
  <si>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</si>
  <si>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</si>
  <si>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</si>
  <si>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</si>
  <si>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</si>
  <si>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</si>
  <si>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</si>
  <si>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</si>
  <si>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</si>
  <si>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</si>
  <si>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</si>
  <si>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</si>
  <si>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</si>
  <si>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</si>
  <si>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</si>
  <si>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</si>
  <si>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</si>
  <si>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</si>
  <si>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</si>
  <si>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</si>
  <si>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</si>
  <si>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</si>
  <si>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</si>
  <si>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</si>
  <si>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</si>
  <si>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</si>
  <si>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</si>
  <si>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</si>
  <si>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</si>
  <si>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</si>
  <si>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</si>
  <si>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</si>
  <si>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</si>
  <si>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</si>
  <si>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</si>
  <si>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</si>
  <si>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</si>
  <si>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</si>
  <si>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</si>
  <si>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</si>
  <si>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</si>
  <si>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</si>
  <si>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</si>
  <si>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</si>
  <si>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</si>
  <si>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</si>
  <si>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</si>
  <si>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</si>
  <si>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</si>
  <si>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</si>
  <si>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</si>
  <si>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</si>
  <si>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</si>
  <si>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</si>
  <si>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</si>
  <si>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</si>
  <si>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</si>
  <si>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</si>
  <si>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</si>
  <si>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</si>
  <si>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</si>
  <si>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</si>
  <si>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</si>
  <si>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</si>
  <si>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</si>
  <si>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</si>
  <si>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</si>
  <si>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</si>
  <si>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</si>
  <si>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</si>
  <si>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</si>
  <si>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</si>
  <si>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</si>
  <si>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</si>
  <si>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</si>
  <si>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</si>
  <si>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</si>
  <si>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</si>
  <si>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</si>
  <si>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</si>
  <si>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</si>
  <si>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</si>
  <si>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</si>
  <si>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</si>
  <si>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</si>
  <si>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</si>
  <si>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</si>
  <si>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</si>
  <si>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</si>
  <si>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</si>
  <si>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</si>
  <si>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</si>
  <si>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</si>
  <si>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</si>
  <si>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</si>
  <si>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</si>
  <si>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</si>
  <si>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</si>
  <si>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</si>
  <si>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</si>
  <si>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</si>
  <si>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</si>
  <si>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</si>
  <si>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</si>
  <si>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</si>
  <si>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</si>
  <si>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</si>
  <si>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</si>
  <si>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</si>
  <si>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</si>
  <si>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</si>
  <si>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</si>
  <si>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</si>
  <si>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</si>
  <si>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</si>
  <si>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</si>
  <si>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</si>
  <si>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</si>
  <si>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</si>
  <si>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</si>
  <si>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</si>
  <si>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</si>
  <si>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</si>
  <si>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</si>
  <si>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</si>
  <si>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</si>
  <si>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</si>
  <si>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</si>
  <si>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</si>
  <si>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</si>
  <si>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</si>
  <si>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</si>
  <si>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</si>
  <si>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</si>
  <si>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</si>
  <si>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</si>
  <si>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</si>
  <si>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</si>
  <si>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</si>
  <si>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</si>
  <si>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</si>
  <si>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</si>
  <si>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</si>
  <si>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</si>
  <si>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</si>
  <si>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</si>
  <si>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</si>
  <si>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</si>
  <si>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</si>
  <si>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</si>
  <si>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</si>
  <si>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</si>
  <si>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</si>
  <si>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</si>
  <si>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</si>
  <si>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</si>
  <si>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</si>
  <si>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</si>
  <si>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</si>
  <si>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</si>
  <si>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</si>
  <si>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</si>
  <si>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</si>
  <si>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</si>
  <si>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</si>
  <si>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</si>
  <si>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</si>
  <si>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</si>
  <si>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</si>
  <si>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</si>
  <si>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</si>
  <si>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</si>
  <si>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</si>
  <si>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</si>
  <si>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</si>
  <si>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</si>
  <si>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</si>
  <si>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</si>
  <si>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</si>
  <si>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</si>
  <si>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</si>
  <si>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</si>
  <si>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</si>
  <si>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</si>
  <si>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</si>
  <si>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</si>
  <si>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</si>
  <si>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</si>
  <si>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</si>
  <si>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</si>
  <si>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</si>
  <si>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</si>
  <si>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</si>
  <si>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</si>
  <si>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</si>
  <si>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</si>
  <si>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</si>
  <si>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</si>
  <si>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</si>
  <si>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</si>
  <si>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</si>
  <si>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</si>
  <si>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</si>
  <si>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</si>
  <si>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</si>
  <si>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</si>
  <si>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</si>
  <si>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</si>
  <si>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</si>
  <si>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</si>
  <si>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</si>
  <si>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</si>
  <si>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</si>
  <si>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</si>
  <si>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</si>
  <si>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</si>
  <si>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</si>
  <si>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</si>
  <si>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</si>
  <si>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</si>
  <si>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</si>
  <si>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</si>
  <si>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</si>
  <si>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</si>
  <si>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</si>
  <si>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</si>
  <si>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</si>
  <si>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</si>
  <si>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</si>
  <si>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</si>
  <si>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</si>
  <si>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</si>
  <si>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</si>
  <si>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</si>
  <si>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</si>
  <si>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</si>
  <si>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</si>
  <si>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</si>
  <si>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</si>
  <si>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</si>
  <si>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</si>
  <si>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</si>
  <si>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</si>
  <si>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</si>
  <si>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</si>
  <si>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</si>
  <si>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</si>
  <si>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</si>
  <si>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</si>
  <si>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</si>
  <si>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</si>
  <si>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</si>
  <si>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</si>
  <si>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</si>
  <si>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</si>
  <si>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</si>
  <si>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</si>
  <si>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</si>
  <si>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</si>
  <si>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</si>
  <si>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</si>
  <si>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</si>
  <si>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</si>
  <si>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</si>
  <si>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</si>
  <si>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</si>
  <si>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</si>
  <si>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</si>
  <si>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</si>
  <si>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</si>
  <si>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</si>
  <si>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</si>
  <si>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</si>
  <si>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</si>
  <si>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</si>
  <si>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</si>
  <si>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</si>
  <si>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</si>
  <si>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</si>
  <si>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</si>
  <si>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</si>
  <si>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</si>
  <si>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</si>
  <si>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</si>
  <si>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</si>
  <si>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</si>
  <si>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</si>
  <si>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</si>
  <si>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</si>
  <si>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</si>
  <si>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</si>
  <si>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</si>
  <si>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</si>
  <si>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</si>
  <si>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</si>
  <si>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</si>
  <si>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</si>
  <si>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</si>
  <si>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</si>
  <si>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</si>
  <si>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</si>
  <si>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</si>
  <si>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</si>
  <si>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</si>
  <si>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</si>
  <si>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</si>
  <si>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</si>
  <si>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</si>
  <si>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</si>
  <si>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</si>
  <si>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</si>
  <si>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</si>
  <si>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</si>
  <si>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</si>
  <si>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</si>
  <si>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</si>
  <si>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</si>
  <si>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</si>
  <si>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</si>
  <si>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</si>
  <si>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</si>
  <si>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</si>
  <si>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</si>
  <si>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</si>
  <si>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</si>
  <si>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</si>
  <si>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</si>
  <si>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</si>
  <si>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</si>
  <si>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</si>
  <si>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</si>
  <si>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</si>
  <si>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</si>
  <si>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</si>
  <si>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</si>
  <si>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</si>
  <si>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</si>
  <si>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</si>
  <si>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</si>
  <si>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</si>
  <si>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</si>
  <si>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</si>
  <si>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</si>
  <si>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</si>
  <si>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</si>
  <si>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</si>
  <si>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</si>
  <si>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</si>
  <si>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</si>
  <si>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</si>
  <si>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</si>
  <si>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</si>
  <si>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</si>
  <si>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</si>
  <si>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</si>
  <si>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</si>
  <si>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</si>
  <si>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</si>
  <si>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</si>
  <si>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</si>
  <si>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</si>
  <si>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</si>
  <si>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</si>
  <si>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</si>
  <si>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</si>
  <si>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</si>
  <si>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</si>
  <si>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</si>
  <si>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</si>
  <si>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</si>
  <si>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</si>
  <si>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</si>
  <si>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</si>
  <si>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</si>
  <si>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</si>
  <si>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</si>
  <si>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</si>
  <si>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</si>
  <si>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</si>
  <si>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</si>
  <si>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</si>
  <si>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</si>
  <si>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</si>
  <si>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</si>
  <si>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</si>
  <si>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</si>
  <si>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</si>
  <si>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</si>
  <si>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</si>
  <si>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</si>
  <si>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</si>
  <si>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</si>
  <si>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</si>
  <si>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</si>
  <si>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</si>
  <si>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</si>
  <si>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</si>
  <si>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</si>
  <si>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</si>
  <si>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</si>
  <si>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</si>
  <si>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</si>
  <si>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</si>
  <si>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</si>
  <si>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</si>
  <si>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</si>
  <si>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</si>
  <si>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</si>
  <si>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</si>
  <si>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</si>
  <si>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</si>
  <si>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</si>
  <si>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</si>
  <si>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</si>
  <si>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</si>
  <si>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</si>
  <si>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</si>
  <si>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</si>
  <si>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</si>
  <si>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</si>
  <si>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</si>
  <si>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</si>
  <si>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</si>
  <si>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</si>
  <si>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</si>
  <si>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</si>
  <si>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</si>
  <si>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</si>
  <si>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</si>
  <si>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</si>
  <si>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</si>
  <si>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</si>
  <si>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</si>
  <si>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</si>
  <si>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</si>
  <si>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</si>
  <si>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</si>
  <si>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</si>
  <si>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</si>
  <si>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</si>
  <si>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</si>
  <si>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</si>
  <si>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</si>
  <si>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</si>
  <si>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</si>
  <si>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</si>
  <si>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</si>
  <si>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</si>
  <si>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</si>
  <si>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</si>
  <si>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</si>
  <si>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</si>
  <si>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</si>
  <si>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</si>
  <si>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</si>
  <si>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</si>
  <si>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</si>
  <si>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</si>
  <si>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</si>
  <si>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</si>
  <si>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</si>
  <si>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</si>
  <si>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</si>
  <si>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</si>
  <si>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</si>
  <si>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</si>
  <si>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</si>
  <si>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</si>
  <si>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</si>
  <si>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</si>
  <si>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</si>
  <si>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</si>
  <si>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</si>
  <si>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</si>
  <si>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</si>
  <si>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</si>
  <si>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</si>
  <si>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</si>
  <si>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</si>
  <si>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</si>
  <si>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</si>
  <si>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</si>
  <si>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</si>
  <si>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</si>
  <si>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</si>
  <si>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</si>
  <si>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</si>
  <si>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</si>
  <si>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</si>
  <si>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</si>
  <si>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</si>
  <si>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</si>
  <si>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</si>
  <si>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</si>
  <si>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</si>
  <si>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</si>
  <si>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</si>
  <si>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</si>
  <si>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</si>
  <si>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</si>
  <si>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</si>
  <si>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</si>
  <si>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</si>
  <si>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</si>
  <si>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</si>
  <si>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</si>
  <si>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</si>
  <si>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</si>
  <si>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</si>
  <si>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</si>
  <si>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</si>
  <si>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</si>
  <si>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</si>
  <si>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</si>
  <si>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</si>
  <si>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</si>
  <si>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</si>
  <si>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</si>
  <si>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</si>
  <si>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</si>
  <si>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</si>
  <si>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</si>
  <si>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</si>
  <si>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</si>
  <si>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</si>
  <si>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</si>
  <si>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</si>
  <si>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</si>
  <si>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</si>
  <si>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</si>
  <si>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</si>
  <si>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</si>
  <si>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</si>
  <si>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</si>
  <si>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</si>
  <si>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</si>
  <si>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</si>
  <si>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</si>
  <si>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</si>
  <si>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</si>
  <si>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</si>
  <si>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</si>
  <si>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</si>
  <si>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</si>
  <si>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</si>
  <si>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</si>
  <si>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</si>
  <si>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</si>
  <si>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</si>
  <si>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</si>
  <si>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</si>
  <si>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</si>
  <si>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</si>
  <si>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</si>
  <si>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</si>
  <si>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</si>
  <si>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</si>
  <si>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</si>
  <si>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</si>
  <si>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</si>
  <si>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</si>
  <si>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</si>
  <si>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</si>
  <si>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</si>
  <si>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</si>
  <si>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</si>
  <si>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</si>
  <si>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</si>
  <si>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</si>
  <si>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</si>
  <si>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</si>
  <si>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</si>
  <si>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</si>
  <si>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</si>
  <si>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</si>
  <si>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</si>
  <si>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</si>
  <si>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</si>
  <si>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</si>
  <si>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</si>
  <si>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</si>
  <si>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</si>
  <si>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</si>
  <si>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</si>
  <si>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</si>
  <si>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</si>
  <si>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</si>
  <si>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</si>
  <si>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</si>
  <si>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</si>
  <si>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</si>
  <si>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</si>
  <si>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</si>
  <si>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</si>
  <si>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</si>
  <si>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</si>
  <si>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</si>
  <si>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</si>
  <si>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</si>
  <si>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</si>
  <si>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</si>
  <si>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</si>
  <si>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</si>
  <si>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</si>
  <si>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</si>
  <si>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</si>
  <si>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</si>
  <si>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</si>
  <si>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</si>
  <si>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</si>
  <si>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</si>
  <si>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</si>
  <si>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</si>
  <si>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</si>
  <si>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</si>
  <si>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</si>
  <si>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</si>
  <si>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</si>
  <si>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</si>
  <si>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</si>
  <si>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</si>
  <si>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</si>
  <si>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</si>
  <si>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</si>
  <si>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</si>
  <si>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</si>
  <si>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</si>
  <si>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</si>
  <si>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</si>
  <si>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</si>
  <si>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</si>
  <si>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</si>
  <si>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</si>
  <si>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</si>
  <si>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</si>
  <si>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</si>
  <si>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</si>
  <si>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</si>
  <si>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</si>
  <si>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</si>
  <si>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</si>
  <si>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</si>
  <si>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</si>
  <si>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</si>
  <si>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</si>
  <si>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</si>
  <si>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</si>
  <si>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</si>
  <si>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</si>
  <si>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</si>
  <si>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</si>
  <si>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</si>
  <si>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</si>
  <si>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</si>
  <si>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</si>
  <si>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</si>
  <si>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</si>
  <si>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</si>
  <si>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</si>
  <si>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</si>
  <si>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</si>
  <si>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</si>
  <si>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</si>
  <si>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</si>
  <si>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</si>
  <si>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</si>
  <si>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</si>
  <si>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</si>
  <si>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</si>
  <si>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</si>
  <si>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</si>
  <si>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</si>
  <si>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</si>
  <si>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</si>
  <si>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</si>
  <si>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</si>
  <si>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</si>
  <si>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</si>
  <si>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</si>
  <si>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</si>
  <si>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</si>
  <si>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</si>
  <si>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</si>
  <si>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</si>
  <si>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</si>
  <si>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</si>
  <si>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</si>
  <si>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</si>
  <si>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</si>
  <si>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</si>
  <si>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</si>
  <si>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</si>
  <si>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</si>
  <si>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</si>
  <si>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</si>
  <si>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</si>
  <si>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</si>
  <si>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</si>
  <si>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</si>
  <si>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</si>
  <si>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</si>
  <si>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</si>
  <si>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</si>
  <si>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</si>
  <si>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</si>
  <si>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</si>
  <si>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</si>
  <si>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</si>
  <si>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</si>
  <si>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</si>
  <si>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</si>
  <si>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</si>
  <si>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</si>
  <si>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</si>
  <si>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</si>
  <si>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</si>
  <si>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</si>
  <si>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</si>
  <si>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</si>
  <si>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</si>
  <si>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</si>
  <si>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</si>
  <si>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</si>
  <si>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</si>
  <si>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</si>
  <si>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</si>
  <si>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</si>
  <si>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</si>
  <si>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</si>
  <si>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</si>
  <si>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</si>
  <si>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</si>
  <si>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Tabla de simulaciones</t>
  </si>
  <si>
    <t>"con TLC"</t>
  </si>
  <si>
    <t>normales indeps</t>
  </si>
  <si>
    <t>normales correladas</t>
  </si>
  <si>
    <t>bernoullis correladas</t>
  </si>
  <si>
    <t>promedio</t>
  </si>
  <si>
    <t>desv típica</t>
  </si>
  <si>
    <t>intevalo</t>
  </si>
  <si>
    <t>¿dentro del intervalo?</t>
  </si>
  <si>
    <t>numsims</t>
  </si>
  <si>
    <t>mínimo</t>
  </si>
  <si>
    <t>máximo</t>
  </si>
  <si>
    <t>clases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</si>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</sst>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%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0" fontId="4" fillId="0" borderId="0" xfId="0" applyFont="1"/>
    <xf numFmtId="10" fontId="4" fillId="0" borderId="5" xfId="1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/>
    <xf numFmtId="0" fontId="5" fillId="0" borderId="7" xfId="0" applyFont="1" applyBorder="1" applyAlignment="1">
      <alignment horizontal="center"/>
    </xf>
    <xf numFmtId="0" fontId="3" fillId="2" borderId="7" xfId="0" applyFont="1" applyFill="1" applyBorder="1"/>
    <xf numFmtId="0" fontId="5" fillId="0" borderId="8" xfId="0" applyFont="1" applyBorder="1" applyAlignment="1">
      <alignment horizontal="center"/>
    </xf>
    <xf numFmtId="0" fontId="3" fillId="2" borderId="8" xfId="0" applyFont="1" applyFill="1" applyBorder="1"/>
    <xf numFmtId="0" fontId="3" fillId="2" borderId="4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3" borderId="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3" fillId="0" borderId="5" xfId="0" applyFont="1" applyBorder="1"/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0" xfId="0" applyFont="1" applyBorder="1"/>
    <xf numFmtId="0" fontId="4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0" fontId="3" fillId="0" borderId="0" xfId="1" applyNumberFormat="1" applyFont="1"/>
    <xf numFmtId="10" fontId="3" fillId="0" borderId="0" xfId="0" applyNumberFormat="1" applyFo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Hoja1!$S$20:$S$80</c:f>
              <c:numCache>
                <c:formatCode>General</c:formatCode>
                <c:ptCount val="6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</c:numCache>
            </c:numRef>
          </c:cat>
          <c:val>
            <c:numRef>
              <c:f>Hoja1!$U$20:$U$80</c:f>
              <c:numCache>
                <c:formatCode>0.00%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2E-3</c:v>
                </c:pt>
                <c:pt idx="25">
                  <c:v>1E-3</c:v>
                </c:pt>
                <c:pt idx="26">
                  <c:v>1.6E-2</c:v>
                </c:pt>
                <c:pt idx="27">
                  <c:v>4.0999999999999995E-2</c:v>
                </c:pt>
                <c:pt idx="28">
                  <c:v>0.11199999999999999</c:v>
                </c:pt>
                <c:pt idx="29">
                  <c:v>0.20100000000000001</c:v>
                </c:pt>
                <c:pt idx="30">
                  <c:v>0.19999999999999996</c:v>
                </c:pt>
                <c:pt idx="31">
                  <c:v>0.21700000000000008</c:v>
                </c:pt>
                <c:pt idx="32">
                  <c:v>0.129</c:v>
                </c:pt>
                <c:pt idx="33">
                  <c:v>5.799999999999994E-2</c:v>
                </c:pt>
                <c:pt idx="34">
                  <c:v>1.7000000000000015E-2</c:v>
                </c:pt>
                <c:pt idx="35">
                  <c:v>6.0000000000000053E-3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F-46A8-9B79-9709D2293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93280"/>
        <c:axId val="95394816"/>
      </c:barChart>
      <c:catAx>
        <c:axId val="9539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394816"/>
        <c:crosses val="autoZero"/>
        <c:auto val="1"/>
        <c:lblAlgn val="ctr"/>
        <c:lblOffset val="100"/>
        <c:noMultiLvlLbl val="0"/>
      </c:catAx>
      <c:valAx>
        <c:axId val="95394816"/>
        <c:scaling>
          <c:orientation val="minMax"/>
          <c:max val="0.30000000000000004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5393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18</xdr:row>
      <xdr:rowOff>66674</xdr:rowOff>
    </xdr:from>
    <xdr:to>
      <xdr:col>15</xdr:col>
      <xdr:colOff>285750</xdr:colOff>
      <xdr:row>32</xdr:row>
      <xdr:rowOff>171449</xdr:rowOff>
    </xdr:to>
    <xdr:graphicFrame macro="">
      <xdr:nvGraphicFramePr>
        <xdr:cNvPr id="1025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1011"/>
  <sheetViews>
    <sheetView showGridLines="0" tabSelected="1" zoomScale="115" zoomScaleNormal="115" workbookViewId="0"/>
  </sheetViews>
  <sheetFormatPr defaultColWidth="11.42578125" defaultRowHeight="15" x14ac:dyDescent="0.25"/>
  <cols>
    <col min="1" max="5" width="11.42578125" style="1"/>
    <col min="6" max="6" width="11.7109375" style="1" bestFit="1" customWidth="1"/>
    <col min="7" max="12" width="11.42578125" style="1"/>
    <col min="13" max="13" width="11.7109375" style="1" bestFit="1" customWidth="1"/>
    <col min="14" max="15" width="11.42578125" style="1"/>
    <col min="16" max="16" width="11.7109375" style="1" bestFit="1" customWidth="1"/>
    <col min="17" max="18" width="11.42578125" style="1"/>
    <col min="19" max="20" width="11.85546875" style="1" bestFit="1" customWidth="1"/>
    <col min="21" max="16384" width="11.42578125" style="1"/>
  </cols>
  <sheetData>
    <row r="1" spans="2:20" ht="15.75" thickBot="1" x14ac:dyDescent="0.3"/>
    <row r="2" spans="2:20" x14ac:dyDescent="0.25">
      <c r="C2" s="2" t="s">
        <v>757</v>
      </c>
      <c r="D2" s="3">
        <v>0.5</v>
      </c>
    </row>
    <row r="3" spans="2:20" ht="15.75" thickBot="1" x14ac:dyDescent="0.3">
      <c r="C3" s="4" t="s">
        <v>0</v>
      </c>
      <c r="D3" s="5">
        <v>0</v>
      </c>
    </row>
    <row r="6" spans="2:20" x14ac:dyDescent="0.25">
      <c r="B6" s="8" t="s">
        <v>460</v>
      </c>
      <c r="K6" s="1" t="s">
        <v>1607</v>
      </c>
      <c r="L6" s="1">
        <f>AVERAGE(L12:L1011)</f>
        <v>148.595</v>
      </c>
    </row>
    <row r="7" spans="2:20" x14ac:dyDescent="0.25">
      <c r="K7" s="1" t="s">
        <v>1608</v>
      </c>
      <c r="L7" s="1">
        <f>STDEV(L12:L1011)</f>
        <v>8.5966783048964874</v>
      </c>
    </row>
    <row r="8" spans="2:20" ht="15.75" thickBot="1" x14ac:dyDescent="0.3"/>
    <row r="9" spans="2:20" ht="15.75" thickBot="1" x14ac:dyDescent="0.3">
      <c r="C9" s="44" t="s">
        <v>1604</v>
      </c>
      <c r="D9" s="44" t="s">
        <v>1605</v>
      </c>
      <c r="F9" s="44" t="s">
        <v>1606</v>
      </c>
      <c r="K9" s="8" t="s">
        <v>1602</v>
      </c>
      <c r="M9" s="38" t="s">
        <v>160</v>
      </c>
      <c r="N9" s="39">
        <v>10</v>
      </c>
      <c r="O9" s="48" t="s">
        <v>1610</v>
      </c>
    </row>
    <row r="10" spans="2:20" ht="15.75" thickBot="1" x14ac:dyDescent="0.3">
      <c r="C10" s="45"/>
      <c r="D10" s="45"/>
      <c r="F10" s="45"/>
      <c r="H10" s="31"/>
      <c r="I10" s="32"/>
      <c r="M10" s="46" t="s">
        <v>1609</v>
      </c>
      <c r="N10" s="47"/>
      <c r="O10" s="49"/>
      <c r="Q10" s="6" t="s">
        <v>161</v>
      </c>
    </row>
    <row r="11" spans="2:20" ht="15.75" thickBot="1" x14ac:dyDescent="0.3">
      <c r="B11" s="21" t="s">
        <v>163</v>
      </c>
      <c r="C11" s="24">
        <f ca="1">NORMSINV(RAND())</f>
        <v>0.72358530727153725</v>
      </c>
      <c r="H11" s="34" t="s">
        <v>758</v>
      </c>
      <c r="I11" s="35">
        <f ca="1">COUNT(F12:F307)</f>
        <v>296</v>
      </c>
      <c r="L11" s="12">
        <f ca="1">I12</f>
        <v>150</v>
      </c>
      <c r="M11" s="28">
        <f t="shared" ref="M11:M74" ca="1" si="0">$I$14-epsilon</f>
        <v>138</v>
      </c>
      <c r="N11" s="28">
        <f t="shared" ref="N11:N74" ca="1" si="1">$I$14+epsilon</f>
        <v>158</v>
      </c>
      <c r="O11" s="18"/>
      <c r="Q11" s="7">
        <f ca="1">AVERAGE(O12:O1011)</f>
        <v>0.78200000000000003</v>
      </c>
    </row>
    <row r="12" spans="2:20" ht="15.75" thickBot="1" x14ac:dyDescent="0.3">
      <c r="B12" s="22" t="s">
        <v>164</v>
      </c>
      <c r="C12" s="18">
        <f ca="1">NORMSINV(RAND())</f>
        <v>-0.21087364712185461</v>
      </c>
      <c r="D12" s="18">
        <f t="shared" ref="D12:D75" ca="1" si="2">SQRT(rho)*$C$11+SQRT(1-rho)*C12</f>
        <v>-0.21087364712185461</v>
      </c>
      <c r="E12" s="25" t="s">
        <v>461</v>
      </c>
      <c r="F12" s="10">
        <f t="shared" ref="F12:F75" ca="1" si="3">IF(D12&lt;NORMSINV(p),1,0)</f>
        <v>1</v>
      </c>
      <c r="H12" s="36" t="s">
        <v>759</v>
      </c>
      <c r="I12" s="37">
        <f ca="1">SUM(OFFSET(F12,0,0,I11,1))</f>
        <v>150</v>
      </c>
      <c r="K12" s="13" t="s">
        <v>761</v>
      </c>
      <c r="L12" s="14">
        <f t="dataTable" ref="L12:L1011" dt2D="0" dtr="0" r1="K11" ca="1"/>
        <v>145</v>
      </c>
      <c r="M12" s="28">
        <f t="shared" ca="1" si="0"/>
        <v>138</v>
      </c>
      <c r="N12" s="28">
        <f t="shared" ca="1" si="1"/>
        <v>158</v>
      </c>
      <c r="O12" s="42">
        <f ca="1">IF(AND(L12&gt;=M12,L12&lt;=N12),1,0)</f>
        <v>1</v>
      </c>
      <c r="Q12" s="6" t="s">
        <v>1603</v>
      </c>
    </row>
    <row r="13" spans="2:20" ht="15.75" thickBot="1" x14ac:dyDescent="0.3">
      <c r="B13" s="22" t="s">
        <v>165</v>
      </c>
      <c r="C13" s="19">
        <f ca="1">NORMSINV(RAND())</f>
        <v>0.64590660379260179</v>
      </c>
      <c r="D13" s="19">
        <f t="shared" ca="1" si="2"/>
        <v>0.64590660379260179</v>
      </c>
      <c r="E13" s="26" t="s">
        <v>462</v>
      </c>
      <c r="F13" s="11">
        <f t="shared" ca="1" si="3"/>
        <v>0</v>
      </c>
      <c r="H13" s="33"/>
      <c r="I13" s="33"/>
      <c r="K13" s="15" t="s">
        <v>762</v>
      </c>
      <c r="L13" s="16">
        <v>155</v>
      </c>
      <c r="M13" s="28">
        <f t="shared" ca="1" si="0"/>
        <v>138</v>
      </c>
      <c r="N13" s="28">
        <f t="shared" ca="1" si="1"/>
        <v>158</v>
      </c>
      <c r="O13" s="42">
        <f t="shared" ref="O13:O76" ca="1" si="4">IF(AND(L13&gt;=M13,L13&lt;=N13),1,0)</f>
        <v>1</v>
      </c>
      <c r="Q13" s="9">
        <f ca="1">1-2*NORMSDIST(-epsilon/(sigma*SQRT(N)))</f>
        <v>0.75495798936761382</v>
      </c>
    </row>
    <row r="14" spans="2:20" x14ac:dyDescent="0.25">
      <c r="B14" s="22" t="s">
        <v>166</v>
      </c>
      <c r="C14" s="19">
        <f ca="1">NORMSINV(RAND())</f>
        <v>-1.4710774336656891</v>
      </c>
      <c r="D14" s="19">
        <f t="shared" ca="1" si="2"/>
        <v>-1.4710774336656891</v>
      </c>
      <c r="E14" s="26" t="s">
        <v>463</v>
      </c>
      <c r="F14" s="11">
        <f t="shared" ca="1" si="3"/>
        <v>1</v>
      </c>
      <c r="H14" s="2" t="s">
        <v>760</v>
      </c>
      <c r="I14" s="29">
        <f ca="1">I11*p</f>
        <v>148</v>
      </c>
      <c r="K14" s="15" t="s">
        <v>763</v>
      </c>
      <c r="L14" s="16">
        <v>137</v>
      </c>
      <c r="M14" s="28">
        <f t="shared" ca="1" si="0"/>
        <v>138</v>
      </c>
      <c r="N14" s="28">
        <f t="shared" ca="1" si="1"/>
        <v>158</v>
      </c>
      <c r="O14" s="42">
        <f t="shared" ca="1" si="4"/>
        <v>0</v>
      </c>
      <c r="S14" s="1" t="s">
        <v>1611</v>
      </c>
      <c r="T14" s="1">
        <f>COUNT(sims)</f>
        <v>1000</v>
      </c>
    </row>
    <row r="15" spans="2:20" ht="15.75" thickBot="1" x14ac:dyDescent="0.3">
      <c r="B15" s="22" t="s">
        <v>167</v>
      </c>
      <c r="C15" s="19">
        <f ca="1">NORMSINV(RAND())</f>
        <v>-1.9241172495279784</v>
      </c>
      <c r="D15" s="19">
        <f t="shared" ca="1" si="2"/>
        <v>-1.9241172495279784</v>
      </c>
      <c r="E15" s="26" t="s">
        <v>464</v>
      </c>
      <c r="F15" s="11">
        <f t="shared" ca="1" si="3"/>
        <v>1</v>
      </c>
      <c r="H15" s="4" t="s">
        <v>162</v>
      </c>
      <c r="I15" s="30">
        <f>SQRT(p*(1-p))</f>
        <v>0.5</v>
      </c>
      <c r="K15" s="15" t="s">
        <v>764</v>
      </c>
      <c r="L15" s="16">
        <v>152</v>
      </c>
      <c r="M15" s="28">
        <f t="shared" ca="1" si="0"/>
        <v>138</v>
      </c>
      <c r="N15" s="28">
        <f t="shared" ca="1" si="1"/>
        <v>158</v>
      </c>
      <c r="O15" s="42">
        <f t="shared" ca="1" si="4"/>
        <v>1</v>
      </c>
      <c r="S15" s="1" t="s">
        <v>1612</v>
      </c>
      <c r="T15" s="1" t="s">
        <v>1613</v>
      </c>
    </row>
    <row r="16" spans="2:20" x14ac:dyDescent="0.25">
      <c r="B16" s="22" t="s">
        <v>168</v>
      </c>
      <c r="C16" s="19">
        <f t="shared" ref="C12:C75" ca="1" si="5">NORMSINV(RAND())</f>
        <v>-0.9451059313334581</v>
      </c>
      <c r="D16" s="19">
        <f t="shared" ca="1" si="2"/>
        <v>-0.9451059313334581</v>
      </c>
      <c r="E16" s="26" t="s">
        <v>465</v>
      </c>
      <c r="F16" s="11">
        <f t="shared" ca="1" si="3"/>
        <v>1</v>
      </c>
      <c r="H16" s="33"/>
      <c r="I16" s="33"/>
      <c r="K16" s="15" t="s">
        <v>765</v>
      </c>
      <c r="L16" s="16">
        <v>145</v>
      </c>
      <c r="M16" s="28">
        <f t="shared" ca="1" si="0"/>
        <v>138</v>
      </c>
      <c r="N16" s="28">
        <f t="shared" ca="1" si="1"/>
        <v>158</v>
      </c>
      <c r="O16" s="42">
        <f t="shared" ca="1" si="4"/>
        <v>1</v>
      </c>
      <c r="S16" s="1">
        <f>MIN(sims)</f>
        <v>116</v>
      </c>
      <c r="T16" s="1">
        <f>MAX(sims)</f>
        <v>175</v>
      </c>
    </row>
    <row r="17" spans="2:21" x14ac:dyDescent="0.25">
      <c r="B17" s="22" t="s">
        <v>169</v>
      </c>
      <c r="C17" s="19">
        <f t="shared" ca="1" si="5"/>
        <v>0.75165363912609462</v>
      </c>
      <c r="D17" s="19">
        <f t="shared" ca="1" si="2"/>
        <v>0.75165363912609462</v>
      </c>
      <c r="E17" s="26" t="s">
        <v>466</v>
      </c>
      <c r="F17" s="11">
        <f t="shared" ca="1" si="3"/>
        <v>0</v>
      </c>
      <c r="H17" s="33"/>
      <c r="I17" s="33"/>
      <c r="K17" s="15" t="s">
        <v>766</v>
      </c>
      <c r="L17" s="16">
        <v>142</v>
      </c>
      <c r="M17" s="28">
        <f t="shared" ca="1" si="0"/>
        <v>138</v>
      </c>
      <c r="N17" s="28">
        <f t="shared" ca="1" si="1"/>
        <v>158</v>
      </c>
      <c r="O17" s="42">
        <f t="shared" ca="1" si="4"/>
        <v>1</v>
      </c>
      <c r="S17" s="1" t="s">
        <v>1614</v>
      </c>
      <c r="T17" s="1">
        <v>40</v>
      </c>
    </row>
    <row r="18" spans="2:21" x14ac:dyDescent="0.25">
      <c r="B18" s="22" t="s">
        <v>170</v>
      </c>
      <c r="C18" s="19">
        <f t="shared" ca="1" si="5"/>
        <v>3.1888216374560518E-2</v>
      </c>
      <c r="D18" s="19">
        <f t="shared" ca="1" si="2"/>
        <v>3.1888216374560518E-2</v>
      </c>
      <c r="E18" s="26" t="s">
        <v>467</v>
      </c>
      <c r="F18" s="11">
        <f t="shared" ca="1" si="3"/>
        <v>0</v>
      </c>
      <c r="K18" s="15" t="s">
        <v>767</v>
      </c>
      <c r="L18" s="16">
        <v>142</v>
      </c>
      <c r="M18" s="28">
        <f t="shared" ca="1" si="0"/>
        <v>138</v>
      </c>
      <c r="N18" s="28">
        <f t="shared" ca="1" si="1"/>
        <v>158</v>
      </c>
      <c r="O18" s="42">
        <f t="shared" ca="1" si="4"/>
        <v>1</v>
      </c>
      <c r="S18" s="1" t="s">
        <v>1615</v>
      </c>
      <c r="T18" s="1">
        <v>5</v>
      </c>
    </row>
    <row r="19" spans="2:21" x14ac:dyDescent="0.25">
      <c r="B19" s="22" t="s">
        <v>171</v>
      </c>
      <c r="C19" s="19">
        <f t="shared" ca="1" si="5"/>
        <v>0.65868901098445887</v>
      </c>
      <c r="D19" s="19">
        <f t="shared" ca="1" si="2"/>
        <v>0.65868901098445887</v>
      </c>
      <c r="E19" s="26" t="s">
        <v>468</v>
      </c>
      <c r="F19" s="11">
        <f t="shared" ca="1" si="3"/>
        <v>0</v>
      </c>
      <c r="K19" s="15" t="s">
        <v>768</v>
      </c>
      <c r="L19" s="16">
        <v>149</v>
      </c>
      <c r="M19" s="28">
        <f t="shared" ca="1" si="0"/>
        <v>138</v>
      </c>
      <c r="N19" s="28">
        <f t="shared" ca="1" si="1"/>
        <v>158</v>
      </c>
      <c r="O19" s="42">
        <f t="shared" ca="1" si="4"/>
        <v>1</v>
      </c>
    </row>
    <row r="20" spans="2:21" x14ac:dyDescent="0.25">
      <c r="B20" s="22" t="s">
        <v>172</v>
      </c>
      <c r="C20" s="19">
        <f t="shared" ca="1" si="5"/>
        <v>-1.2029230371072783</v>
      </c>
      <c r="D20" s="19">
        <f t="shared" ca="1" si="2"/>
        <v>-1.2029230371072783</v>
      </c>
      <c r="E20" s="26" t="s">
        <v>469</v>
      </c>
      <c r="F20" s="11">
        <f t="shared" ca="1" si="3"/>
        <v>1</v>
      </c>
      <c r="K20" s="15" t="s">
        <v>769</v>
      </c>
      <c r="L20" s="16">
        <v>141</v>
      </c>
      <c r="M20" s="28">
        <f t="shared" ca="1" si="0"/>
        <v>138</v>
      </c>
      <c r="N20" s="28">
        <f t="shared" ca="1" si="1"/>
        <v>158</v>
      </c>
      <c r="O20" s="42">
        <f t="shared" ca="1" si="4"/>
        <v>1</v>
      </c>
      <c r="S20" s="1">
        <v>0</v>
      </c>
      <c r="T20" s="40">
        <f t="shared" ref="T20:T40" si="6">COUNTIF(sims,"&lt;="&amp;S20)/numsims</f>
        <v>0</v>
      </c>
      <c r="U20" s="41">
        <f>T20</f>
        <v>0</v>
      </c>
    </row>
    <row r="21" spans="2:21" x14ac:dyDescent="0.25">
      <c r="B21" s="22" t="s">
        <v>173</v>
      </c>
      <c r="C21" s="19">
        <f t="shared" ca="1" si="5"/>
        <v>0.17985871897150563</v>
      </c>
      <c r="D21" s="19">
        <f t="shared" ca="1" si="2"/>
        <v>0.17985871897150563</v>
      </c>
      <c r="E21" s="26" t="s">
        <v>470</v>
      </c>
      <c r="F21" s="11">
        <f t="shared" ca="1" si="3"/>
        <v>0</v>
      </c>
      <c r="K21" s="15" t="s">
        <v>770</v>
      </c>
      <c r="L21" s="16">
        <v>146</v>
      </c>
      <c r="M21" s="28">
        <f t="shared" ca="1" si="0"/>
        <v>138</v>
      </c>
      <c r="N21" s="28">
        <f t="shared" ca="1" si="1"/>
        <v>158</v>
      </c>
      <c r="O21" s="42">
        <f t="shared" ca="1" si="4"/>
        <v>1</v>
      </c>
      <c r="S21" s="1">
        <f>S20+$T$18</f>
        <v>5</v>
      </c>
      <c r="T21" s="40">
        <f t="shared" si="6"/>
        <v>0</v>
      </c>
      <c r="U21" s="41">
        <f>T21-T20</f>
        <v>0</v>
      </c>
    </row>
    <row r="22" spans="2:21" x14ac:dyDescent="0.25">
      <c r="B22" s="22" t="s">
        <v>174</v>
      </c>
      <c r="C22" s="19">
        <f t="shared" ca="1" si="5"/>
        <v>0.62509630147176454</v>
      </c>
      <c r="D22" s="19">
        <f t="shared" ca="1" si="2"/>
        <v>0.62509630147176454</v>
      </c>
      <c r="E22" s="26" t="s">
        <v>471</v>
      </c>
      <c r="F22" s="11">
        <f t="shared" ca="1" si="3"/>
        <v>0</v>
      </c>
      <c r="K22" s="15" t="s">
        <v>771</v>
      </c>
      <c r="L22" s="16">
        <v>144</v>
      </c>
      <c r="M22" s="28">
        <f t="shared" ca="1" si="0"/>
        <v>138</v>
      </c>
      <c r="N22" s="28">
        <f t="shared" ca="1" si="1"/>
        <v>158</v>
      </c>
      <c r="O22" s="42">
        <f t="shared" ca="1" si="4"/>
        <v>1</v>
      </c>
      <c r="S22" s="1">
        <f t="shared" ref="S22:S80" si="7">S21+$T$18</f>
        <v>10</v>
      </c>
      <c r="T22" s="40">
        <f t="shared" si="6"/>
        <v>0</v>
      </c>
      <c r="U22" s="41">
        <f t="shared" ref="U22:U40" si="8">T22-T21</f>
        <v>0</v>
      </c>
    </row>
    <row r="23" spans="2:21" x14ac:dyDescent="0.25">
      <c r="B23" s="22" t="s">
        <v>175</v>
      </c>
      <c r="C23" s="19">
        <f t="shared" ca="1" si="5"/>
        <v>0.91137277014936624</v>
      </c>
      <c r="D23" s="19">
        <f t="shared" ca="1" si="2"/>
        <v>0.91137277014936624</v>
      </c>
      <c r="E23" s="26" t="s">
        <v>472</v>
      </c>
      <c r="F23" s="11">
        <f t="shared" ca="1" si="3"/>
        <v>0</v>
      </c>
      <c r="K23" s="15" t="s">
        <v>772</v>
      </c>
      <c r="L23" s="16">
        <v>138</v>
      </c>
      <c r="M23" s="28">
        <f t="shared" ca="1" si="0"/>
        <v>138</v>
      </c>
      <c r="N23" s="28">
        <f t="shared" ca="1" si="1"/>
        <v>158</v>
      </c>
      <c r="O23" s="42">
        <f t="shared" ca="1" si="4"/>
        <v>1</v>
      </c>
      <c r="S23" s="1">
        <f t="shared" si="7"/>
        <v>15</v>
      </c>
      <c r="T23" s="40">
        <f t="shared" si="6"/>
        <v>0</v>
      </c>
      <c r="U23" s="41">
        <f t="shared" si="8"/>
        <v>0</v>
      </c>
    </row>
    <row r="24" spans="2:21" x14ac:dyDescent="0.25">
      <c r="B24" s="22" t="s">
        <v>176</v>
      </c>
      <c r="C24" s="19">
        <f t="shared" ca="1" si="5"/>
        <v>-1.2056346010357604</v>
      </c>
      <c r="D24" s="19">
        <f t="shared" ca="1" si="2"/>
        <v>-1.2056346010357604</v>
      </c>
      <c r="E24" s="26" t="s">
        <v>473</v>
      </c>
      <c r="F24" s="11">
        <f t="shared" ca="1" si="3"/>
        <v>1</v>
      </c>
      <c r="K24" s="15" t="s">
        <v>773</v>
      </c>
      <c r="L24" s="16">
        <v>159</v>
      </c>
      <c r="M24" s="28">
        <f t="shared" ca="1" si="0"/>
        <v>138</v>
      </c>
      <c r="N24" s="28">
        <f t="shared" ca="1" si="1"/>
        <v>158</v>
      </c>
      <c r="O24" s="42">
        <f t="shared" ca="1" si="4"/>
        <v>0</v>
      </c>
      <c r="S24" s="1">
        <f t="shared" si="7"/>
        <v>20</v>
      </c>
      <c r="T24" s="40">
        <f t="shared" si="6"/>
        <v>0</v>
      </c>
      <c r="U24" s="41">
        <f t="shared" si="8"/>
        <v>0</v>
      </c>
    </row>
    <row r="25" spans="2:21" x14ac:dyDescent="0.25">
      <c r="B25" s="22" t="s">
        <v>177</v>
      </c>
      <c r="C25" s="19">
        <f t="shared" ca="1" si="5"/>
        <v>-0.44980355400827871</v>
      </c>
      <c r="D25" s="19">
        <f t="shared" ca="1" si="2"/>
        <v>-0.44980355400827871</v>
      </c>
      <c r="E25" s="26" t="s">
        <v>474</v>
      </c>
      <c r="F25" s="11">
        <f t="shared" ca="1" si="3"/>
        <v>1</v>
      </c>
      <c r="K25" s="15" t="s">
        <v>774</v>
      </c>
      <c r="L25" s="16">
        <v>140</v>
      </c>
      <c r="M25" s="28">
        <f t="shared" ca="1" si="0"/>
        <v>138</v>
      </c>
      <c r="N25" s="28">
        <f t="shared" ca="1" si="1"/>
        <v>158</v>
      </c>
      <c r="O25" s="42">
        <f t="shared" ca="1" si="4"/>
        <v>1</v>
      </c>
      <c r="S25" s="1">
        <f t="shared" si="7"/>
        <v>25</v>
      </c>
      <c r="T25" s="40">
        <f t="shared" si="6"/>
        <v>0</v>
      </c>
      <c r="U25" s="41">
        <f t="shared" si="8"/>
        <v>0</v>
      </c>
    </row>
    <row r="26" spans="2:21" x14ac:dyDescent="0.25">
      <c r="B26" s="22" t="s">
        <v>178</v>
      </c>
      <c r="C26" s="19">
        <f t="shared" ca="1" si="5"/>
        <v>-8.0348417653251361E-2</v>
      </c>
      <c r="D26" s="19">
        <f t="shared" ca="1" si="2"/>
        <v>-8.0348417653251361E-2</v>
      </c>
      <c r="E26" s="26" t="s">
        <v>475</v>
      </c>
      <c r="F26" s="11">
        <f t="shared" ca="1" si="3"/>
        <v>1</v>
      </c>
      <c r="K26" s="15" t="s">
        <v>775</v>
      </c>
      <c r="L26" s="16">
        <v>137</v>
      </c>
      <c r="M26" s="28">
        <f t="shared" ca="1" si="0"/>
        <v>138</v>
      </c>
      <c r="N26" s="28">
        <f t="shared" ca="1" si="1"/>
        <v>158</v>
      </c>
      <c r="O26" s="42">
        <f t="shared" ca="1" si="4"/>
        <v>0</v>
      </c>
      <c r="S26" s="1">
        <f t="shared" si="7"/>
        <v>30</v>
      </c>
      <c r="T26" s="40">
        <f t="shared" si="6"/>
        <v>0</v>
      </c>
      <c r="U26" s="41">
        <f t="shared" si="8"/>
        <v>0</v>
      </c>
    </row>
    <row r="27" spans="2:21" x14ac:dyDescent="0.25">
      <c r="B27" s="22" t="s">
        <v>179</v>
      </c>
      <c r="C27" s="19">
        <f t="shared" ca="1" si="5"/>
        <v>0.26550235188749916</v>
      </c>
      <c r="D27" s="19">
        <f t="shared" ca="1" si="2"/>
        <v>0.26550235188749916</v>
      </c>
      <c r="E27" s="26" t="s">
        <v>476</v>
      </c>
      <c r="F27" s="11">
        <f t="shared" ca="1" si="3"/>
        <v>0</v>
      </c>
      <c r="K27" s="15" t="s">
        <v>776</v>
      </c>
      <c r="L27" s="16">
        <v>141</v>
      </c>
      <c r="M27" s="28">
        <f t="shared" ca="1" si="0"/>
        <v>138</v>
      </c>
      <c r="N27" s="28">
        <f t="shared" ca="1" si="1"/>
        <v>158</v>
      </c>
      <c r="O27" s="42">
        <f t="shared" ca="1" si="4"/>
        <v>1</v>
      </c>
      <c r="S27" s="1">
        <f t="shared" si="7"/>
        <v>35</v>
      </c>
      <c r="T27" s="40">
        <f t="shared" si="6"/>
        <v>0</v>
      </c>
      <c r="U27" s="41">
        <f t="shared" si="8"/>
        <v>0</v>
      </c>
    </row>
    <row r="28" spans="2:21" x14ac:dyDescent="0.25">
      <c r="B28" s="22" t="s">
        <v>180</v>
      </c>
      <c r="C28" s="19">
        <f t="shared" ca="1" si="5"/>
        <v>-0.30819878805931428</v>
      </c>
      <c r="D28" s="19">
        <f t="shared" ca="1" si="2"/>
        <v>-0.30819878805931428</v>
      </c>
      <c r="E28" s="26" t="s">
        <v>477</v>
      </c>
      <c r="F28" s="11">
        <f t="shared" ca="1" si="3"/>
        <v>1</v>
      </c>
      <c r="K28" s="15" t="s">
        <v>777</v>
      </c>
      <c r="L28" s="16">
        <v>138</v>
      </c>
      <c r="M28" s="28">
        <f t="shared" ca="1" si="0"/>
        <v>138</v>
      </c>
      <c r="N28" s="28">
        <f t="shared" ca="1" si="1"/>
        <v>158</v>
      </c>
      <c r="O28" s="42">
        <f t="shared" ca="1" si="4"/>
        <v>1</v>
      </c>
      <c r="S28" s="1">
        <f t="shared" si="7"/>
        <v>40</v>
      </c>
      <c r="T28" s="40">
        <f t="shared" si="6"/>
        <v>0</v>
      </c>
      <c r="U28" s="41">
        <f t="shared" si="8"/>
        <v>0</v>
      </c>
    </row>
    <row r="29" spans="2:21" x14ac:dyDescent="0.25">
      <c r="B29" s="22" t="s">
        <v>181</v>
      </c>
      <c r="C29" s="19">
        <f t="shared" ca="1" si="5"/>
        <v>0.5747223042077888</v>
      </c>
      <c r="D29" s="19">
        <f t="shared" ca="1" si="2"/>
        <v>0.5747223042077888</v>
      </c>
      <c r="E29" s="26" t="s">
        <v>478</v>
      </c>
      <c r="F29" s="11">
        <f t="shared" ca="1" si="3"/>
        <v>0</v>
      </c>
      <c r="K29" s="15" t="s">
        <v>778</v>
      </c>
      <c r="L29" s="16">
        <v>144</v>
      </c>
      <c r="M29" s="28">
        <f t="shared" ca="1" si="0"/>
        <v>138</v>
      </c>
      <c r="N29" s="28">
        <f t="shared" ca="1" si="1"/>
        <v>158</v>
      </c>
      <c r="O29" s="42">
        <f t="shared" ca="1" si="4"/>
        <v>1</v>
      </c>
      <c r="S29" s="1">
        <f t="shared" si="7"/>
        <v>45</v>
      </c>
      <c r="T29" s="40">
        <f t="shared" si="6"/>
        <v>0</v>
      </c>
      <c r="U29" s="41">
        <f t="shared" si="8"/>
        <v>0</v>
      </c>
    </row>
    <row r="30" spans="2:21" x14ac:dyDescent="0.25">
      <c r="B30" s="22" t="s">
        <v>182</v>
      </c>
      <c r="C30" s="19">
        <f t="shared" ca="1" si="5"/>
        <v>-0.36352789341533892</v>
      </c>
      <c r="D30" s="19">
        <f t="shared" ca="1" si="2"/>
        <v>-0.36352789341533892</v>
      </c>
      <c r="E30" s="26" t="s">
        <v>479</v>
      </c>
      <c r="F30" s="11">
        <f t="shared" ca="1" si="3"/>
        <v>1</v>
      </c>
      <c r="K30" s="15" t="s">
        <v>779</v>
      </c>
      <c r="L30" s="16">
        <v>145</v>
      </c>
      <c r="M30" s="28">
        <f t="shared" ca="1" si="0"/>
        <v>138</v>
      </c>
      <c r="N30" s="28">
        <f t="shared" ca="1" si="1"/>
        <v>158</v>
      </c>
      <c r="O30" s="42">
        <f t="shared" ca="1" si="4"/>
        <v>1</v>
      </c>
      <c r="S30" s="1">
        <f t="shared" si="7"/>
        <v>50</v>
      </c>
      <c r="T30" s="40">
        <f t="shared" si="6"/>
        <v>0</v>
      </c>
      <c r="U30" s="41">
        <f t="shared" si="8"/>
        <v>0</v>
      </c>
    </row>
    <row r="31" spans="2:21" x14ac:dyDescent="0.25">
      <c r="B31" s="22" t="s">
        <v>183</v>
      </c>
      <c r="C31" s="19">
        <f t="shared" ca="1" si="5"/>
        <v>-0.12868934779770869</v>
      </c>
      <c r="D31" s="19">
        <f t="shared" ca="1" si="2"/>
        <v>-0.12868934779770869</v>
      </c>
      <c r="E31" s="26" t="s">
        <v>480</v>
      </c>
      <c r="F31" s="11">
        <f t="shared" ca="1" si="3"/>
        <v>1</v>
      </c>
      <c r="K31" s="15" t="s">
        <v>780</v>
      </c>
      <c r="L31" s="16">
        <v>159</v>
      </c>
      <c r="M31" s="28">
        <f t="shared" ca="1" si="0"/>
        <v>138</v>
      </c>
      <c r="N31" s="28">
        <f t="shared" ca="1" si="1"/>
        <v>158</v>
      </c>
      <c r="O31" s="42">
        <f t="shared" ca="1" si="4"/>
        <v>0</v>
      </c>
      <c r="S31" s="1">
        <f t="shared" si="7"/>
        <v>55</v>
      </c>
      <c r="T31" s="40">
        <f t="shared" si="6"/>
        <v>0</v>
      </c>
      <c r="U31" s="41">
        <f t="shared" si="8"/>
        <v>0</v>
      </c>
    </row>
    <row r="32" spans="2:21" x14ac:dyDescent="0.25">
      <c r="B32" s="22" t="s">
        <v>184</v>
      </c>
      <c r="C32" s="19">
        <f t="shared" ca="1" si="5"/>
        <v>0.86176509891103026</v>
      </c>
      <c r="D32" s="19">
        <f t="shared" ca="1" si="2"/>
        <v>0.86176509891103026</v>
      </c>
      <c r="E32" s="26" t="s">
        <v>481</v>
      </c>
      <c r="F32" s="11">
        <f t="shared" ca="1" si="3"/>
        <v>0</v>
      </c>
      <c r="K32" s="15" t="s">
        <v>781</v>
      </c>
      <c r="L32" s="16">
        <v>145</v>
      </c>
      <c r="M32" s="28">
        <f t="shared" ca="1" si="0"/>
        <v>138</v>
      </c>
      <c r="N32" s="28">
        <f t="shared" ca="1" si="1"/>
        <v>158</v>
      </c>
      <c r="O32" s="42">
        <f t="shared" ca="1" si="4"/>
        <v>1</v>
      </c>
      <c r="S32" s="1">
        <f t="shared" si="7"/>
        <v>60</v>
      </c>
      <c r="T32" s="40">
        <f t="shared" si="6"/>
        <v>0</v>
      </c>
      <c r="U32" s="41">
        <f t="shared" si="8"/>
        <v>0</v>
      </c>
    </row>
    <row r="33" spans="2:21" x14ac:dyDescent="0.25">
      <c r="B33" s="22" t="s">
        <v>185</v>
      </c>
      <c r="C33" s="19">
        <f t="shared" ca="1" si="5"/>
        <v>0.65364995462474529</v>
      </c>
      <c r="D33" s="19">
        <f t="shared" ca="1" si="2"/>
        <v>0.65364995462474529</v>
      </c>
      <c r="E33" s="26" t="s">
        <v>482</v>
      </c>
      <c r="F33" s="11">
        <f t="shared" ca="1" si="3"/>
        <v>0</v>
      </c>
      <c r="K33" s="15" t="s">
        <v>782</v>
      </c>
      <c r="L33" s="16">
        <v>149</v>
      </c>
      <c r="M33" s="28">
        <f t="shared" ca="1" si="0"/>
        <v>138</v>
      </c>
      <c r="N33" s="28">
        <f t="shared" ca="1" si="1"/>
        <v>158</v>
      </c>
      <c r="O33" s="42">
        <f t="shared" ca="1" si="4"/>
        <v>1</v>
      </c>
      <c r="S33" s="1">
        <f t="shared" si="7"/>
        <v>65</v>
      </c>
      <c r="T33" s="40">
        <f t="shared" si="6"/>
        <v>0</v>
      </c>
      <c r="U33" s="41">
        <f t="shared" si="8"/>
        <v>0</v>
      </c>
    </row>
    <row r="34" spans="2:21" x14ac:dyDescent="0.25">
      <c r="B34" s="22" t="s">
        <v>186</v>
      </c>
      <c r="C34" s="19">
        <f t="shared" ca="1" si="5"/>
        <v>-1.026413706220813</v>
      </c>
      <c r="D34" s="19">
        <f t="shared" ca="1" si="2"/>
        <v>-1.026413706220813</v>
      </c>
      <c r="E34" s="26" t="s">
        <v>483</v>
      </c>
      <c r="F34" s="11">
        <f t="shared" ca="1" si="3"/>
        <v>1</v>
      </c>
      <c r="K34" s="15" t="s">
        <v>783</v>
      </c>
      <c r="L34" s="16">
        <v>151</v>
      </c>
      <c r="M34" s="28">
        <f t="shared" ca="1" si="0"/>
        <v>138</v>
      </c>
      <c r="N34" s="28">
        <f t="shared" ca="1" si="1"/>
        <v>158</v>
      </c>
      <c r="O34" s="42">
        <f t="shared" ca="1" si="4"/>
        <v>1</v>
      </c>
      <c r="S34" s="1">
        <f t="shared" si="7"/>
        <v>70</v>
      </c>
      <c r="T34" s="40">
        <f t="shared" si="6"/>
        <v>0</v>
      </c>
      <c r="U34" s="41">
        <f t="shared" si="8"/>
        <v>0</v>
      </c>
    </row>
    <row r="35" spans="2:21" x14ac:dyDescent="0.25">
      <c r="B35" s="22" t="s">
        <v>187</v>
      </c>
      <c r="C35" s="19">
        <f t="shared" ca="1" si="5"/>
        <v>-0.45176262100538989</v>
      </c>
      <c r="D35" s="19">
        <f t="shared" ca="1" si="2"/>
        <v>-0.45176262100538989</v>
      </c>
      <c r="E35" s="26" t="s">
        <v>484</v>
      </c>
      <c r="F35" s="11">
        <f t="shared" ca="1" si="3"/>
        <v>1</v>
      </c>
      <c r="K35" s="15" t="s">
        <v>784</v>
      </c>
      <c r="L35" s="16">
        <v>164</v>
      </c>
      <c r="M35" s="28">
        <f t="shared" ca="1" si="0"/>
        <v>138</v>
      </c>
      <c r="N35" s="28">
        <f t="shared" ca="1" si="1"/>
        <v>158</v>
      </c>
      <c r="O35" s="42">
        <f t="shared" ca="1" si="4"/>
        <v>0</v>
      </c>
      <c r="S35" s="1">
        <f t="shared" si="7"/>
        <v>75</v>
      </c>
      <c r="T35" s="40">
        <f t="shared" si="6"/>
        <v>0</v>
      </c>
      <c r="U35" s="41">
        <f t="shared" si="8"/>
        <v>0</v>
      </c>
    </row>
    <row r="36" spans="2:21" x14ac:dyDescent="0.25">
      <c r="B36" s="22" t="s">
        <v>188</v>
      </c>
      <c r="C36" s="19">
        <f t="shared" ca="1" si="5"/>
        <v>-3.0847604689575651E-2</v>
      </c>
      <c r="D36" s="19">
        <f t="shared" ca="1" si="2"/>
        <v>-3.0847604689575651E-2</v>
      </c>
      <c r="E36" s="26" t="s">
        <v>485</v>
      </c>
      <c r="F36" s="11">
        <f t="shared" ca="1" si="3"/>
        <v>1</v>
      </c>
      <c r="K36" s="15" t="s">
        <v>785</v>
      </c>
      <c r="L36" s="16">
        <v>145</v>
      </c>
      <c r="M36" s="28">
        <f t="shared" ca="1" si="0"/>
        <v>138</v>
      </c>
      <c r="N36" s="28">
        <f t="shared" ca="1" si="1"/>
        <v>158</v>
      </c>
      <c r="O36" s="42">
        <f t="shared" ca="1" si="4"/>
        <v>1</v>
      </c>
      <c r="S36" s="1">
        <f t="shared" si="7"/>
        <v>80</v>
      </c>
      <c r="T36" s="40">
        <f t="shared" si="6"/>
        <v>0</v>
      </c>
      <c r="U36" s="41">
        <f t="shared" si="8"/>
        <v>0</v>
      </c>
    </row>
    <row r="37" spans="2:21" x14ac:dyDescent="0.25">
      <c r="B37" s="22" t="s">
        <v>189</v>
      </c>
      <c r="C37" s="19">
        <f t="shared" ca="1" si="5"/>
        <v>-0.13561745821540699</v>
      </c>
      <c r="D37" s="19">
        <f t="shared" ca="1" si="2"/>
        <v>-0.13561745821540699</v>
      </c>
      <c r="E37" s="26" t="s">
        <v>486</v>
      </c>
      <c r="F37" s="11">
        <f t="shared" ca="1" si="3"/>
        <v>1</v>
      </c>
      <c r="K37" s="15" t="s">
        <v>786</v>
      </c>
      <c r="L37" s="16">
        <v>141</v>
      </c>
      <c r="M37" s="28">
        <f t="shared" ca="1" si="0"/>
        <v>138</v>
      </c>
      <c r="N37" s="28">
        <f t="shared" ca="1" si="1"/>
        <v>158</v>
      </c>
      <c r="O37" s="42">
        <f t="shared" ca="1" si="4"/>
        <v>1</v>
      </c>
      <c r="S37" s="1">
        <f t="shared" si="7"/>
        <v>85</v>
      </c>
      <c r="T37" s="40">
        <f t="shared" si="6"/>
        <v>0</v>
      </c>
      <c r="U37" s="41">
        <f t="shared" si="8"/>
        <v>0</v>
      </c>
    </row>
    <row r="38" spans="2:21" x14ac:dyDescent="0.25">
      <c r="B38" s="22" t="s">
        <v>190</v>
      </c>
      <c r="C38" s="19">
        <f t="shared" ca="1" si="5"/>
        <v>-0.13181376283978777</v>
      </c>
      <c r="D38" s="19">
        <f t="shared" ca="1" si="2"/>
        <v>-0.13181376283978777</v>
      </c>
      <c r="E38" s="26" t="s">
        <v>487</v>
      </c>
      <c r="F38" s="11">
        <f t="shared" ca="1" si="3"/>
        <v>1</v>
      </c>
      <c r="K38" s="15" t="s">
        <v>787</v>
      </c>
      <c r="L38" s="16">
        <v>145</v>
      </c>
      <c r="M38" s="28">
        <f t="shared" ca="1" si="0"/>
        <v>138</v>
      </c>
      <c r="N38" s="28">
        <f t="shared" ca="1" si="1"/>
        <v>158</v>
      </c>
      <c r="O38" s="42">
        <f t="shared" ca="1" si="4"/>
        <v>1</v>
      </c>
      <c r="S38" s="1">
        <f t="shared" si="7"/>
        <v>90</v>
      </c>
      <c r="T38" s="40">
        <f t="shared" si="6"/>
        <v>0</v>
      </c>
      <c r="U38" s="41">
        <f t="shared" si="8"/>
        <v>0</v>
      </c>
    </row>
    <row r="39" spans="2:21" x14ac:dyDescent="0.25">
      <c r="B39" s="22" t="s">
        <v>191</v>
      </c>
      <c r="C39" s="19">
        <f t="shared" ca="1" si="5"/>
        <v>0.55836957326635872</v>
      </c>
      <c r="D39" s="19">
        <f t="shared" ca="1" si="2"/>
        <v>0.55836957326635872</v>
      </c>
      <c r="E39" s="26" t="s">
        <v>488</v>
      </c>
      <c r="F39" s="11">
        <f t="shared" ca="1" si="3"/>
        <v>0</v>
      </c>
      <c r="K39" s="15" t="s">
        <v>788</v>
      </c>
      <c r="L39" s="16">
        <v>160</v>
      </c>
      <c r="M39" s="28">
        <f t="shared" ca="1" si="0"/>
        <v>138</v>
      </c>
      <c r="N39" s="28">
        <f t="shared" ca="1" si="1"/>
        <v>158</v>
      </c>
      <c r="O39" s="42">
        <f t="shared" ca="1" si="4"/>
        <v>0</v>
      </c>
      <c r="S39" s="1">
        <f t="shared" si="7"/>
        <v>95</v>
      </c>
      <c r="T39" s="40">
        <f t="shared" si="6"/>
        <v>0</v>
      </c>
      <c r="U39" s="41">
        <f t="shared" si="8"/>
        <v>0</v>
      </c>
    </row>
    <row r="40" spans="2:21" x14ac:dyDescent="0.25">
      <c r="B40" s="22" t="s">
        <v>192</v>
      </c>
      <c r="C40" s="19">
        <f t="shared" ca="1" si="5"/>
        <v>0.87832203006690646</v>
      </c>
      <c r="D40" s="19">
        <f t="shared" ca="1" si="2"/>
        <v>0.87832203006690646</v>
      </c>
      <c r="E40" s="26" t="s">
        <v>489</v>
      </c>
      <c r="F40" s="11">
        <f t="shared" ca="1" si="3"/>
        <v>0</v>
      </c>
      <c r="K40" s="15" t="s">
        <v>789</v>
      </c>
      <c r="L40" s="16">
        <v>157</v>
      </c>
      <c r="M40" s="28">
        <f t="shared" ca="1" si="0"/>
        <v>138</v>
      </c>
      <c r="N40" s="28">
        <f t="shared" ca="1" si="1"/>
        <v>158</v>
      </c>
      <c r="O40" s="42">
        <f t="shared" ca="1" si="4"/>
        <v>1</v>
      </c>
      <c r="S40" s="1">
        <f t="shared" si="7"/>
        <v>100</v>
      </c>
      <c r="T40" s="40">
        <f t="shared" si="6"/>
        <v>0</v>
      </c>
      <c r="U40" s="41">
        <f t="shared" si="8"/>
        <v>0</v>
      </c>
    </row>
    <row r="41" spans="2:21" x14ac:dyDescent="0.25">
      <c r="B41" s="22" t="s">
        <v>193</v>
      </c>
      <c r="C41" s="19">
        <f t="shared" ca="1" si="5"/>
        <v>0.18867217101521822</v>
      </c>
      <c r="D41" s="19">
        <f t="shared" ca="1" si="2"/>
        <v>0.18867217101521822</v>
      </c>
      <c r="E41" s="26" t="s">
        <v>490</v>
      </c>
      <c r="F41" s="11">
        <f t="shared" ca="1" si="3"/>
        <v>0</v>
      </c>
      <c r="K41" s="15" t="s">
        <v>790</v>
      </c>
      <c r="L41" s="16">
        <v>153</v>
      </c>
      <c r="M41" s="28">
        <f t="shared" ca="1" si="0"/>
        <v>138</v>
      </c>
      <c r="N41" s="28">
        <f t="shared" ca="1" si="1"/>
        <v>158</v>
      </c>
      <c r="O41" s="42">
        <f t="shared" ca="1" si="4"/>
        <v>1</v>
      </c>
      <c r="S41" s="1">
        <f t="shared" si="7"/>
        <v>105</v>
      </c>
      <c r="T41" s="40">
        <f t="shared" ref="T41:T78" si="9">COUNTIF(sims,"&lt;="&amp;S41)/numsims</f>
        <v>0</v>
      </c>
      <c r="U41" s="41">
        <f t="shared" ref="U41:U78" si="10">T41-T40</f>
        <v>0</v>
      </c>
    </row>
    <row r="42" spans="2:21" x14ac:dyDescent="0.25">
      <c r="B42" s="22" t="s">
        <v>194</v>
      </c>
      <c r="C42" s="19">
        <f t="shared" ca="1" si="5"/>
        <v>-1.1411555128815205</v>
      </c>
      <c r="D42" s="19">
        <f t="shared" ca="1" si="2"/>
        <v>-1.1411555128815205</v>
      </c>
      <c r="E42" s="26" t="s">
        <v>491</v>
      </c>
      <c r="F42" s="11">
        <f t="shared" ca="1" si="3"/>
        <v>1</v>
      </c>
      <c r="K42" s="15" t="s">
        <v>791</v>
      </c>
      <c r="L42" s="16">
        <v>145</v>
      </c>
      <c r="M42" s="28">
        <f t="shared" ca="1" si="0"/>
        <v>138</v>
      </c>
      <c r="N42" s="28">
        <f t="shared" ca="1" si="1"/>
        <v>158</v>
      </c>
      <c r="O42" s="42">
        <f t="shared" ca="1" si="4"/>
        <v>1</v>
      </c>
      <c r="S42" s="1">
        <f t="shared" si="7"/>
        <v>110</v>
      </c>
      <c r="T42" s="40">
        <f t="shared" si="9"/>
        <v>0</v>
      </c>
      <c r="U42" s="41">
        <f t="shared" si="10"/>
        <v>0</v>
      </c>
    </row>
    <row r="43" spans="2:21" x14ac:dyDescent="0.25">
      <c r="B43" s="22" t="s">
        <v>195</v>
      </c>
      <c r="C43" s="19">
        <f t="shared" ca="1" si="5"/>
        <v>-1.37819006373639</v>
      </c>
      <c r="D43" s="19">
        <f t="shared" ca="1" si="2"/>
        <v>-1.37819006373639</v>
      </c>
      <c r="E43" s="26" t="s">
        <v>492</v>
      </c>
      <c r="F43" s="11">
        <f t="shared" ca="1" si="3"/>
        <v>1</v>
      </c>
      <c r="K43" s="15" t="s">
        <v>792</v>
      </c>
      <c r="L43" s="16">
        <v>145</v>
      </c>
      <c r="M43" s="28">
        <f t="shared" ca="1" si="0"/>
        <v>138</v>
      </c>
      <c r="N43" s="28">
        <f t="shared" ca="1" si="1"/>
        <v>158</v>
      </c>
      <c r="O43" s="42">
        <f t="shared" ca="1" si="4"/>
        <v>1</v>
      </c>
      <c r="S43" s="1">
        <f t="shared" si="7"/>
        <v>115</v>
      </c>
      <c r="T43" s="40">
        <f t="shared" si="9"/>
        <v>0</v>
      </c>
      <c r="U43" s="41">
        <f t="shared" si="10"/>
        <v>0</v>
      </c>
    </row>
    <row r="44" spans="2:21" x14ac:dyDescent="0.25">
      <c r="B44" s="22" t="s">
        <v>196</v>
      </c>
      <c r="C44" s="19">
        <f t="shared" ca="1" si="5"/>
        <v>0.50945073688425935</v>
      </c>
      <c r="D44" s="19">
        <f t="shared" ca="1" si="2"/>
        <v>0.50945073688425935</v>
      </c>
      <c r="E44" s="26" t="s">
        <v>493</v>
      </c>
      <c r="F44" s="11">
        <f t="shared" ca="1" si="3"/>
        <v>0</v>
      </c>
      <c r="K44" s="15" t="s">
        <v>793</v>
      </c>
      <c r="L44" s="16">
        <v>147</v>
      </c>
      <c r="M44" s="28">
        <f t="shared" ca="1" si="0"/>
        <v>138</v>
      </c>
      <c r="N44" s="28">
        <f t="shared" ca="1" si="1"/>
        <v>158</v>
      </c>
      <c r="O44" s="42">
        <f t="shared" ca="1" si="4"/>
        <v>1</v>
      </c>
      <c r="S44" s="1">
        <f t="shared" si="7"/>
        <v>120</v>
      </c>
      <c r="T44" s="40">
        <f t="shared" si="9"/>
        <v>2E-3</v>
      </c>
      <c r="U44" s="41">
        <f t="shared" si="10"/>
        <v>2E-3</v>
      </c>
    </row>
    <row r="45" spans="2:21" x14ac:dyDescent="0.25">
      <c r="B45" s="22" t="s">
        <v>197</v>
      </c>
      <c r="C45" s="19">
        <f t="shared" ca="1" si="5"/>
        <v>0.60071603148530772</v>
      </c>
      <c r="D45" s="19">
        <f t="shared" ca="1" si="2"/>
        <v>0.60071603148530772</v>
      </c>
      <c r="E45" s="26" t="s">
        <v>494</v>
      </c>
      <c r="F45" s="11">
        <f t="shared" ca="1" si="3"/>
        <v>0</v>
      </c>
      <c r="K45" s="15" t="s">
        <v>794</v>
      </c>
      <c r="L45" s="16">
        <v>151</v>
      </c>
      <c r="M45" s="28">
        <f t="shared" ca="1" si="0"/>
        <v>138</v>
      </c>
      <c r="N45" s="28">
        <f t="shared" ca="1" si="1"/>
        <v>158</v>
      </c>
      <c r="O45" s="42">
        <f t="shared" ca="1" si="4"/>
        <v>1</v>
      </c>
      <c r="S45" s="1">
        <f t="shared" si="7"/>
        <v>125</v>
      </c>
      <c r="T45" s="40">
        <f t="shared" si="9"/>
        <v>3.0000000000000001E-3</v>
      </c>
      <c r="U45" s="41">
        <f t="shared" si="10"/>
        <v>1E-3</v>
      </c>
    </row>
    <row r="46" spans="2:21" x14ac:dyDescent="0.25">
      <c r="B46" s="22" t="s">
        <v>198</v>
      </c>
      <c r="C46" s="19">
        <f t="shared" ca="1" si="5"/>
        <v>1.3846163083940428</v>
      </c>
      <c r="D46" s="19">
        <f t="shared" ca="1" si="2"/>
        <v>1.3846163083940428</v>
      </c>
      <c r="E46" s="26" t="s">
        <v>495</v>
      </c>
      <c r="F46" s="11">
        <f t="shared" ca="1" si="3"/>
        <v>0</v>
      </c>
      <c r="K46" s="15" t="s">
        <v>795</v>
      </c>
      <c r="L46" s="16">
        <v>164</v>
      </c>
      <c r="M46" s="28">
        <f t="shared" ca="1" si="0"/>
        <v>138</v>
      </c>
      <c r="N46" s="28">
        <f t="shared" ca="1" si="1"/>
        <v>158</v>
      </c>
      <c r="O46" s="42">
        <f t="shared" ca="1" si="4"/>
        <v>0</v>
      </c>
      <c r="S46" s="1">
        <f t="shared" si="7"/>
        <v>130</v>
      </c>
      <c r="T46" s="40">
        <f t="shared" si="9"/>
        <v>1.9E-2</v>
      </c>
      <c r="U46" s="41">
        <f t="shared" si="10"/>
        <v>1.6E-2</v>
      </c>
    </row>
    <row r="47" spans="2:21" x14ac:dyDescent="0.25">
      <c r="B47" s="22" t="s">
        <v>199</v>
      </c>
      <c r="C47" s="19">
        <f t="shared" ca="1" si="5"/>
        <v>0.23101657753430069</v>
      </c>
      <c r="D47" s="19">
        <f t="shared" ca="1" si="2"/>
        <v>0.23101657753430069</v>
      </c>
      <c r="E47" s="26" t="s">
        <v>496</v>
      </c>
      <c r="F47" s="11">
        <f t="shared" ca="1" si="3"/>
        <v>0</v>
      </c>
      <c r="K47" s="15" t="s">
        <v>796</v>
      </c>
      <c r="L47" s="16">
        <v>154</v>
      </c>
      <c r="M47" s="28">
        <f t="shared" ca="1" si="0"/>
        <v>138</v>
      </c>
      <c r="N47" s="28">
        <f t="shared" ca="1" si="1"/>
        <v>158</v>
      </c>
      <c r="O47" s="42">
        <f t="shared" ca="1" si="4"/>
        <v>1</v>
      </c>
      <c r="S47" s="1">
        <f t="shared" si="7"/>
        <v>135</v>
      </c>
      <c r="T47" s="40">
        <f t="shared" si="9"/>
        <v>0.06</v>
      </c>
      <c r="U47" s="41">
        <f t="shared" si="10"/>
        <v>4.0999999999999995E-2</v>
      </c>
    </row>
    <row r="48" spans="2:21" x14ac:dyDescent="0.25">
      <c r="B48" s="22" t="s">
        <v>200</v>
      </c>
      <c r="C48" s="19">
        <f t="shared" ca="1" si="5"/>
        <v>-0.19003917339022175</v>
      </c>
      <c r="D48" s="19">
        <f t="shared" ca="1" si="2"/>
        <v>-0.19003917339022175</v>
      </c>
      <c r="E48" s="26" t="s">
        <v>497</v>
      </c>
      <c r="F48" s="11">
        <f t="shared" ca="1" si="3"/>
        <v>1</v>
      </c>
      <c r="K48" s="15" t="s">
        <v>797</v>
      </c>
      <c r="L48" s="16">
        <v>152</v>
      </c>
      <c r="M48" s="28">
        <f t="shared" ca="1" si="0"/>
        <v>138</v>
      </c>
      <c r="N48" s="28">
        <f t="shared" ca="1" si="1"/>
        <v>158</v>
      </c>
      <c r="O48" s="42">
        <f t="shared" ca="1" si="4"/>
        <v>1</v>
      </c>
      <c r="S48" s="1">
        <f t="shared" si="7"/>
        <v>140</v>
      </c>
      <c r="T48" s="40">
        <f t="shared" si="9"/>
        <v>0.17199999999999999</v>
      </c>
      <c r="U48" s="41">
        <f t="shared" si="10"/>
        <v>0.11199999999999999</v>
      </c>
    </row>
    <row r="49" spans="2:21" x14ac:dyDescent="0.25">
      <c r="B49" s="22" t="s">
        <v>201</v>
      </c>
      <c r="C49" s="19">
        <f t="shared" ca="1" si="5"/>
        <v>0.76222383657942983</v>
      </c>
      <c r="D49" s="19">
        <f t="shared" ca="1" si="2"/>
        <v>0.76222383657942983</v>
      </c>
      <c r="E49" s="26" t="s">
        <v>498</v>
      </c>
      <c r="F49" s="11">
        <f t="shared" ca="1" si="3"/>
        <v>0</v>
      </c>
      <c r="K49" s="15" t="s">
        <v>798</v>
      </c>
      <c r="L49" s="16">
        <v>171</v>
      </c>
      <c r="M49" s="28">
        <f t="shared" ca="1" si="0"/>
        <v>138</v>
      </c>
      <c r="N49" s="28">
        <f t="shared" ca="1" si="1"/>
        <v>158</v>
      </c>
      <c r="O49" s="42">
        <f t="shared" ca="1" si="4"/>
        <v>0</v>
      </c>
      <c r="S49" s="1">
        <f t="shared" si="7"/>
        <v>145</v>
      </c>
      <c r="T49" s="40">
        <f t="shared" si="9"/>
        <v>0.373</v>
      </c>
      <c r="U49" s="41">
        <f t="shared" si="10"/>
        <v>0.20100000000000001</v>
      </c>
    </row>
    <row r="50" spans="2:21" x14ac:dyDescent="0.25">
      <c r="B50" s="22" t="s">
        <v>202</v>
      </c>
      <c r="C50" s="19">
        <f t="shared" ca="1" si="5"/>
        <v>-1.8034843775716292</v>
      </c>
      <c r="D50" s="19">
        <f t="shared" ca="1" si="2"/>
        <v>-1.8034843775716292</v>
      </c>
      <c r="E50" s="26" t="s">
        <v>499</v>
      </c>
      <c r="F50" s="11">
        <f t="shared" ca="1" si="3"/>
        <v>1</v>
      </c>
      <c r="K50" s="15" t="s">
        <v>799</v>
      </c>
      <c r="L50" s="16">
        <v>165</v>
      </c>
      <c r="M50" s="28">
        <f t="shared" ca="1" si="0"/>
        <v>138</v>
      </c>
      <c r="N50" s="28">
        <f t="shared" ca="1" si="1"/>
        <v>158</v>
      </c>
      <c r="O50" s="42">
        <f t="shared" ca="1" si="4"/>
        <v>0</v>
      </c>
      <c r="S50" s="1">
        <f t="shared" si="7"/>
        <v>150</v>
      </c>
      <c r="T50" s="40">
        <f t="shared" si="9"/>
        <v>0.57299999999999995</v>
      </c>
      <c r="U50" s="41">
        <f t="shared" si="10"/>
        <v>0.19999999999999996</v>
      </c>
    </row>
    <row r="51" spans="2:21" x14ac:dyDescent="0.25">
      <c r="B51" s="22" t="s">
        <v>203</v>
      </c>
      <c r="C51" s="19">
        <f t="shared" ca="1" si="5"/>
        <v>1.342953654763124</v>
      </c>
      <c r="D51" s="19">
        <f t="shared" ca="1" si="2"/>
        <v>1.342953654763124</v>
      </c>
      <c r="E51" s="26" t="s">
        <v>500</v>
      </c>
      <c r="F51" s="11">
        <f t="shared" ca="1" si="3"/>
        <v>0</v>
      </c>
      <c r="K51" s="15" t="s">
        <v>800</v>
      </c>
      <c r="L51" s="16">
        <v>157</v>
      </c>
      <c r="M51" s="28">
        <f t="shared" ca="1" si="0"/>
        <v>138</v>
      </c>
      <c r="N51" s="28">
        <f t="shared" ca="1" si="1"/>
        <v>158</v>
      </c>
      <c r="O51" s="42">
        <f t="shared" ca="1" si="4"/>
        <v>1</v>
      </c>
      <c r="S51" s="1">
        <f t="shared" si="7"/>
        <v>155</v>
      </c>
      <c r="T51" s="40">
        <f t="shared" si="9"/>
        <v>0.79</v>
      </c>
      <c r="U51" s="41">
        <f t="shared" si="10"/>
        <v>0.21700000000000008</v>
      </c>
    </row>
    <row r="52" spans="2:21" x14ac:dyDescent="0.25">
      <c r="B52" s="22" t="s">
        <v>204</v>
      </c>
      <c r="C52" s="19">
        <f t="shared" ca="1" si="5"/>
        <v>-1.728356277287276</v>
      </c>
      <c r="D52" s="19">
        <f t="shared" ca="1" si="2"/>
        <v>-1.728356277287276</v>
      </c>
      <c r="E52" s="26" t="s">
        <v>501</v>
      </c>
      <c r="F52" s="11">
        <f t="shared" ca="1" si="3"/>
        <v>1</v>
      </c>
      <c r="K52" s="15" t="s">
        <v>801</v>
      </c>
      <c r="L52" s="16">
        <v>151</v>
      </c>
      <c r="M52" s="28">
        <f t="shared" ca="1" si="0"/>
        <v>138</v>
      </c>
      <c r="N52" s="28">
        <f t="shared" ca="1" si="1"/>
        <v>158</v>
      </c>
      <c r="O52" s="42">
        <f t="shared" ca="1" si="4"/>
        <v>1</v>
      </c>
      <c r="S52" s="1">
        <f t="shared" si="7"/>
        <v>160</v>
      </c>
      <c r="T52" s="40">
        <f t="shared" si="9"/>
        <v>0.91900000000000004</v>
      </c>
      <c r="U52" s="41">
        <f t="shared" si="10"/>
        <v>0.129</v>
      </c>
    </row>
    <row r="53" spans="2:21" x14ac:dyDescent="0.25">
      <c r="B53" s="22" t="s">
        <v>205</v>
      </c>
      <c r="C53" s="19">
        <f t="shared" ca="1" si="5"/>
        <v>0.23897853931431776</v>
      </c>
      <c r="D53" s="19">
        <f t="shared" ca="1" si="2"/>
        <v>0.23897853931431776</v>
      </c>
      <c r="E53" s="26" t="s">
        <v>502</v>
      </c>
      <c r="F53" s="11">
        <f t="shared" ca="1" si="3"/>
        <v>0</v>
      </c>
      <c r="K53" s="15" t="s">
        <v>802</v>
      </c>
      <c r="L53" s="16">
        <v>165</v>
      </c>
      <c r="M53" s="28">
        <f t="shared" ca="1" si="0"/>
        <v>138</v>
      </c>
      <c r="N53" s="28">
        <f t="shared" ca="1" si="1"/>
        <v>158</v>
      </c>
      <c r="O53" s="42">
        <f t="shared" ca="1" si="4"/>
        <v>0</v>
      </c>
      <c r="S53" s="1">
        <f t="shared" si="7"/>
        <v>165</v>
      </c>
      <c r="T53" s="40">
        <f t="shared" si="9"/>
        <v>0.97699999999999998</v>
      </c>
      <c r="U53" s="41">
        <f t="shared" si="10"/>
        <v>5.799999999999994E-2</v>
      </c>
    </row>
    <row r="54" spans="2:21" x14ac:dyDescent="0.25">
      <c r="B54" s="22" t="s">
        <v>206</v>
      </c>
      <c r="C54" s="19">
        <f t="shared" ca="1" si="5"/>
        <v>-0.92235945294796884</v>
      </c>
      <c r="D54" s="19">
        <f t="shared" ca="1" si="2"/>
        <v>-0.92235945294796884</v>
      </c>
      <c r="E54" s="26" t="s">
        <v>503</v>
      </c>
      <c r="F54" s="11">
        <f t="shared" ca="1" si="3"/>
        <v>1</v>
      </c>
      <c r="K54" s="15" t="s">
        <v>803</v>
      </c>
      <c r="L54" s="16">
        <v>141</v>
      </c>
      <c r="M54" s="28">
        <f t="shared" ca="1" si="0"/>
        <v>138</v>
      </c>
      <c r="N54" s="28">
        <f t="shared" ca="1" si="1"/>
        <v>158</v>
      </c>
      <c r="O54" s="42">
        <f t="shared" ca="1" si="4"/>
        <v>1</v>
      </c>
      <c r="S54" s="1">
        <f t="shared" si="7"/>
        <v>170</v>
      </c>
      <c r="T54" s="40">
        <f t="shared" si="9"/>
        <v>0.99399999999999999</v>
      </c>
      <c r="U54" s="41">
        <f t="shared" si="10"/>
        <v>1.7000000000000015E-2</v>
      </c>
    </row>
    <row r="55" spans="2:21" x14ac:dyDescent="0.25">
      <c r="B55" s="22" t="s">
        <v>207</v>
      </c>
      <c r="C55" s="19">
        <f t="shared" ca="1" si="5"/>
        <v>-1.7669496609432991</v>
      </c>
      <c r="D55" s="19">
        <f t="shared" ca="1" si="2"/>
        <v>-1.7669496609432991</v>
      </c>
      <c r="E55" s="26" t="s">
        <v>504</v>
      </c>
      <c r="F55" s="11">
        <f t="shared" ca="1" si="3"/>
        <v>1</v>
      </c>
      <c r="K55" s="15" t="s">
        <v>804</v>
      </c>
      <c r="L55" s="16">
        <v>144</v>
      </c>
      <c r="M55" s="28">
        <f t="shared" ca="1" si="0"/>
        <v>138</v>
      </c>
      <c r="N55" s="28">
        <f t="shared" ca="1" si="1"/>
        <v>158</v>
      </c>
      <c r="O55" s="42">
        <f t="shared" ca="1" si="4"/>
        <v>1</v>
      </c>
      <c r="S55" s="1">
        <f t="shared" si="7"/>
        <v>175</v>
      </c>
      <c r="T55" s="40">
        <f t="shared" si="9"/>
        <v>1</v>
      </c>
      <c r="U55" s="41">
        <f t="shared" si="10"/>
        <v>6.0000000000000053E-3</v>
      </c>
    </row>
    <row r="56" spans="2:21" x14ac:dyDescent="0.25">
      <c r="B56" s="22" t="s">
        <v>208</v>
      </c>
      <c r="C56" s="19">
        <f t="shared" ca="1" si="5"/>
        <v>-0.89162146120194297</v>
      </c>
      <c r="D56" s="19">
        <f t="shared" ca="1" si="2"/>
        <v>-0.89162146120194297</v>
      </c>
      <c r="E56" s="26" t="s">
        <v>505</v>
      </c>
      <c r="F56" s="11">
        <f t="shared" ca="1" si="3"/>
        <v>1</v>
      </c>
      <c r="K56" s="15" t="s">
        <v>805</v>
      </c>
      <c r="L56" s="16">
        <v>168</v>
      </c>
      <c r="M56" s="28">
        <f t="shared" ca="1" si="0"/>
        <v>138</v>
      </c>
      <c r="N56" s="28">
        <f t="shared" ca="1" si="1"/>
        <v>158</v>
      </c>
      <c r="O56" s="42">
        <f t="shared" ca="1" si="4"/>
        <v>0</v>
      </c>
      <c r="S56" s="1">
        <f t="shared" si="7"/>
        <v>180</v>
      </c>
      <c r="T56" s="40">
        <f t="shared" si="9"/>
        <v>1</v>
      </c>
      <c r="U56" s="41">
        <f t="shared" si="10"/>
        <v>0</v>
      </c>
    </row>
    <row r="57" spans="2:21" x14ac:dyDescent="0.25">
      <c r="B57" s="22" t="s">
        <v>209</v>
      </c>
      <c r="C57" s="19">
        <f t="shared" ca="1" si="5"/>
        <v>1.0696925358869849</v>
      </c>
      <c r="D57" s="19">
        <f t="shared" ca="1" si="2"/>
        <v>1.0696925358869849</v>
      </c>
      <c r="E57" s="26" t="s">
        <v>506</v>
      </c>
      <c r="F57" s="11">
        <f t="shared" ca="1" si="3"/>
        <v>0</v>
      </c>
      <c r="K57" s="15" t="s">
        <v>806</v>
      </c>
      <c r="L57" s="16">
        <v>155</v>
      </c>
      <c r="M57" s="28">
        <f t="shared" ca="1" si="0"/>
        <v>138</v>
      </c>
      <c r="N57" s="28">
        <f t="shared" ca="1" si="1"/>
        <v>158</v>
      </c>
      <c r="O57" s="42">
        <f t="shared" ca="1" si="4"/>
        <v>1</v>
      </c>
      <c r="S57" s="1">
        <f t="shared" si="7"/>
        <v>185</v>
      </c>
      <c r="T57" s="40">
        <f t="shared" si="9"/>
        <v>1</v>
      </c>
      <c r="U57" s="41">
        <f t="shared" si="10"/>
        <v>0</v>
      </c>
    </row>
    <row r="58" spans="2:21" x14ac:dyDescent="0.25">
      <c r="B58" s="22" t="s">
        <v>210</v>
      </c>
      <c r="C58" s="19">
        <f t="shared" ca="1" si="5"/>
        <v>1.2373858226772896</v>
      </c>
      <c r="D58" s="19">
        <f t="shared" ca="1" si="2"/>
        <v>1.2373858226772896</v>
      </c>
      <c r="E58" s="26" t="s">
        <v>507</v>
      </c>
      <c r="F58" s="11">
        <f t="shared" ca="1" si="3"/>
        <v>0</v>
      </c>
      <c r="K58" s="15" t="s">
        <v>807</v>
      </c>
      <c r="L58" s="16">
        <v>155</v>
      </c>
      <c r="M58" s="28">
        <f t="shared" ca="1" si="0"/>
        <v>138</v>
      </c>
      <c r="N58" s="28">
        <f t="shared" ca="1" si="1"/>
        <v>158</v>
      </c>
      <c r="O58" s="42">
        <f t="shared" ca="1" si="4"/>
        <v>1</v>
      </c>
      <c r="S58" s="1">
        <f t="shared" si="7"/>
        <v>190</v>
      </c>
      <c r="T58" s="40">
        <f t="shared" si="9"/>
        <v>1</v>
      </c>
      <c r="U58" s="41">
        <f t="shared" si="10"/>
        <v>0</v>
      </c>
    </row>
    <row r="59" spans="2:21" x14ac:dyDescent="0.25">
      <c r="B59" s="22" t="s">
        <v>211</v>
      </c>
      <c r="C59" s="19">
        <f t="shared" ca="1" si="5"/>
        <v>-0.74326297894552917</v>
      </c>
      <c r="D59" s="19">
        <f t="shared" ca="1" si="2"/>
        <v>-0.74326297894552917</v>
      </c>
      <c r="E59" s="26" t="s">
        <v>508</v>
      </c>
      <c r="F59" s="11">
        <f t="shared" ca="1" si="3"/>
        <v>1</v>
      </c>
      <c r="K59" s="15" t="s">
        <v>808</v>
      </c>
      <c r="L59" s="16">
        <v>151</v>
      </c>
      <c r="M59" s="28">
        <f t="shared" ca="1" si="0"/>
        <v>138</v>
      </c>
      <c r="N59" s="28">
        <f t="shared" ca="1" si="1"/>
        <v>158</v>
      </c>
      <c r="O59" s="42">
        <f t="shared" ca="1" si="4"/>
        <v>1</v>
      </c>
      <c r="S59" s="1">
        <f t="shared" si="7"/>
        <v>195</v>
      </c>
      <c r="T59" s="40">
        <f t="shared" si="9"/>
        <v>1</v>
      </c>
      <c r="U59" s="41">
        <f t="shared" si="10"/>
        <v>0</v>
      </c>
    </row>
    <row r="60" spans="2:21" x14ac:dyDescent="0.25">
      <c r="B60" s="22" t="s">
        <v>212</v>
      </c>
      <c r="C60" s="19">
        <f t="shared" ca="1" si="5"/>
        <v>1.5192527468749619</v>
      </c>
      <c r="D60" s="19">
        <f t="shared" ca="1" si="2"/>
        <v>1.5192527468749619</v>
      </c>
      <c r="E60" s="26" t="s">
        <v>509</v>
      </c>
      <c r="F60" s="11">
        <f t="shared" ca="1" si="3"/>
        <v>0</v>
      </c>
      <c r="K60" s="15" t="s">
        <v>809</v>
      </c>
      <c r="L60" s="16">
        <v>153</v>
      </c>
      <c r="M60" s="28">
        <f t="shared" ca="1" si="0"/>
        <v>138</v>
      </c>
      <c r="N60" s="28">
        <f t="shared" ca="1" si="1"/>
        <v>158</v>
      </c>
      <c r="O60" s="42">
        <f t="shared" ca="1" si="4"/>
        <v>1</v>
      </c>
      <c r="S60" s="1">
        <f t="shared" si="7"/>
        <v>200</v>
      </c>
      <c r="T60" s="40">
        <f t="shared" si="9"/>
        <v>1</v>
      </c>
      <c r="U60" s="41">
        <f t="shared" si="10"/>
        <v>0</v>
      </c>
    </row>
    <row r="61" spans="2:21" x14ac:dyDescent="0.25">
      <c r="B61" s="22" t="s">
        <v>213</v>
      </c>
      <c r="C61" s="19">
        <f t="shared" ca="1" si="5"/>
        <v>-6.6192329968176561E-2</v>
      </c>
      <c r="D61" s="19">
        <f t="shared" ca="1" si="2"/>
        <v>-6.6192329968176561E-2</v>
      </c>
      <c r="E61" s="26" t="s">
        <v>510</v>
      </c>
      <c r="F61" s="11">
        <f t="shared" ca="1" si="3"/>
        <v>1</v>
      </c>
      <c r="K61" s="15" t="s">
        <v>810</v>
      </c>
      <c r="L61" s="16">
        <v>140</v>
      </c>
      <c r="M61" s="28">
        <f t="shared" ca="1" si="0"/>
        <v>138</v>
      </c>
      <c r="N61" s="28">
        <f t="shared" ca="1" si="1"/>
        <v>158</v>
      </c>
      <c r="O61" s="42">
        <f t="shared" ca="1" si="4"/>
        <v>1</v>
      </c>
      <c r="S61" s="1">
        <f t="shared" si="7"/>
        <v>205</v>
      </c>
      <c r="T61" s="40">
        <f t="shared" si="9"/>
        <v>1</v>
      </c>
      <c r="U61" s="41">
        <f t="shared" si="10"/>
        <v>0</v>
      </c>
    </row>
    <row r="62" spans="2:21" x14ac:dyDescent="0.25">
      <c r="B62" s="22" t="s">
        <v>214</v>
      </c>
      <c r="C62" s="19">
        <f t="shared" ca="1" si="5"/>
        <v>-1.6139383274872925</v>
      </c>
      <c r="D62" s="19">
        <f t="shared" ca="1" si="2"/>
        <v>-1.6139383274872925</v>
      </c>
      <c r="E62" s="26" t="s">
        <v>511</v>
      </c>
      <c r="F62" s="11">
        <f t="shared" ca="1" si="3"/>
        <v>1</v>
      </c>
      <c r="K62" s="15" t="s">
        <v>811</v>
      </c>
      <c r="L62" s="16">
        <v>131</v>
      </c>
      <c r="M62" s="28">
        <f t="shared" ca="1" si="0"/>
        <v>138</v>
      </c>
      <c r="N62" s="28">
        <f t="shared" ca="1" si="1"/>
        <v>158</v>
      </c>
      <c r="O62" s="42">
        <f t="shared" ca="1" si="4"/>
        <v>0</v>
      </c>
      <c r="S62" s="1">
        <f t="shared" si="7"/>
        <v>210</v>
      </c>
      <c r="T62" s="40">
        <f t="shared" si="9"/>
        <v>1</v>
      </c>
      <c r="U62" s="41">
        <f t="shared" si="10"/>
        <v>0</v>
      </c>
    </row>
    <row r="63" spans="2:21" x14ac:dyDescent="0.25">
      <c r="B63" s="22" t="s">
        <v>215</v>
      </c>
      <c r="C63" s="19">
        <f t="shared" ca="1" si="5"/>
        <v>0.30914640883447936</v>
      </c>
      <c r="D63" s="19">
        <f t="shared" ca="1" si="2"/>
        <v>0.30914640883447936</v>
      </c>
      <c r="E63" s="26" t="s">
        <v>512</v>
      </c>
      <c r="F63" s="11">
        <f t="shared" ca="1" si="3"/>
        <v>0</v>
      </c>
      <c r="K63" s="15" t="s">
        <v>812</v>
      </c>
      <c r="L63" s="16">
        <v>144</v>
      </c>
      <c r="M63" s="28">
        <f t="shared" ca="1" si="0"/>
        <v>138</v>
      </c>
      <c r="N63" s="28">
        <f t="shared" ca="1" si="1"/>
        <v>158</v>
      </c>
      <c r="O63" s="42">
        <f t="shared" ca="1" si="4"/>
        <v>1</v>
      </c>
      <c r="S63" s="1">
        <f t="shared" si="7"/>
        <v>215</v>
      </c>
      <c r="T63" s="40">
        <f t="shared" si="9"/>
        <v>1</v>
      </c>
      <c r="U63" s="41">
        <f t="shared" si="10"/>
        <v>0</v>
      </c>
    </row>
    <row r="64" spans="2:21" x14ac:dyDescent="0.25">
      <c r="B64" s="22" t="s">
        <v>216</v>
      </c>
      <c r="C64" s="19">
        <f t="shared" ca="1" si="5"/>
        <v>-1.6264104677677447</v>
      </c>
      <c r="D64" s="19">
        <f t="shared" ca="1" si="2"/>
        <v>-1.6264104677677447</v>
      </c>
      <c r="E64" s="26" t="s">
        <v>513</v>
      </c>
      <c r="F64" s="11">
        <f t="shared" ca="1" si="3"/>
        <v>1</v>
      </c>
      <c r="K64" s="15" t="s">
        <v>813</v>
      </c>
      <c r="L64" s="16">
        <v>147</v>
      </c>
      <c r="M64" s="28">
        <f t="shared" ca="1" si="0"/>
        <v>138</v>
      </c>
      <c r="N64" s="28">
        <f t="shared" ca="1" si="1"/>
        <v>158</v>
      </c>
      <c r="O64" s="42">
        <f t="shared" ca="1" si="4"/>
        <v>1</v>
      </c>
      <c r="S64" s="1">
        <f t="shared" si="7"/>
        <v>220</v>
      </c>
      <c r="T64" s="40">
        <f t="shared" si="9"/>
        <v>1</v>
      </c>
      <c r="U64" s="41">
        <f t="shared" si="10"/>
        <v>0</v>
      </c>
    </row>
    <row r="65" spans="2:21" x14ac:dyDescent="0.25">
      <c r="B65" s="22" t="s">
        <v>217</v>
      </c>
      <c r="C65" s="19">
        <f t="shared" ca="1" si="5"/>
        <v>2.3347391953311587</v>
      </c>
      <c r="D65" s="19">
        <f t="shared" ca="1" si="2"/>
        <v>2.3347391953311587</v>
      </c>
      <c r="E65" s="26" t="s">
        <v>514</v>
      </c>
      <c r="F65" s="11">
        <f t="shared" ca="1" si="3"/>
        <v>0</v>
      </c>
      <c r="K65" s="15" t="s">
        <v>814</v>
      </c>
      <c r="L65" s="16">
        <v>158</v>
      </c>
      <c r="M65" s="28">
        <f t="shared" ca="1" si="0"/>
        <v>138</v>
      </c>
      <c r="N65" s="28">
        <f t="shared" ca="1" si="1"/>
        <v>158</v>
      </c>
      <c r="O65" s="42">
        <f t="shared" ca="1" si="4"/>
        <v>1</v>
      </c>
      <c r="S65" s="1">
        <f t="shared" si="7"/>
        <v>225</v>
      </c>
      <c r="T65" s="40">
        <f t="shared" si="9"/>
        <v>1</v>
      </c>
      <c r="U65" s="41">
        <f t="shared" si="10"/>
        <v>0</v>
      </c>
    </row>
    <row r="66" spans="2:21" x14ac:dyDescent="0.25">
      <c r="B66" s="22" t="s">
        <v>218</v>
      </c>
      <c r="C66" s="19">
        <f t="shared" ca="1" si="5"/>
        <v>1.1195172457451821</v>
      </c>
      <c r="D66" s="19">
        <f t="shared" ca="1" si="2"/>
        <v>1.1195172457451821</v>
      </c>
      <c r="E66" s="26" t="s">
        <v>515</v>
      </c>
      <c r="F66" s="11">
        <f t="shared" ca="1" si="3"/>
        <v>0</v>
      </c>
      <c r="K66" s="15" t="s">
        <v>815</v>
      </c>
      <c r="L66" s="16">
        <v>142</v>
      </c>
      <c r="M66" s="28">
        <f t="shared" ca="1" si="0"/>
        <v>138</v>
      </c>
      <c r="N66" s="28">
        <f t="shared" ca="1" si="1"/>
        <v>158</v>
      </c>
      <c r="O66" s="42">
        <f t="shared" ca="1" si="4"/>
        <v>1</v>
      </c>
      <c r="S66" s="1">
        <f t="shared" si="7"/>
        <v>230</v>
      </c>
      <c r="T66" s="40">
        <f t="shared" si="9"/>
        <v>1</v>
      </c>
      <c r="U66" s="41">
        <f t="shared" si="10"/>
        <v>0</v>
      </c>
    </row>
    <row r="67" spans="2:21" x14ac:dyDescent="0.25">
      <c r="B67" s="22" t="s">
        <v>219</v>
      </c>
      <c r="C67" s="19">
        <f t="shared" ca="1" si="5"/>
        <v>-0.58101176839112378</v>
      </c>
      <c r="D67" s="19">
        <f t="shared" ca="1" si="2"/>
        <v>-0.58101176839112378</v>
      </c>
      <c r="E67" s="26" t="s">
        <v>516</v>
      </c>
      <c r="F67" s="11">
        <f t="shared" ca="1" si="3"/>
        <v>1</v>
      </c>
      <c r="K67" s="15" t="s">
        <v>816</v>
      </c>
      <c r="L67" s="16">
        <v>145</v>
      </c>
      <c r="M67" s="28">
        <f t="shared" ca="1" si="0"/>
        <v>138</v>
      </c>
      <c r="N67" s="28">
        <f t="shared" ca="1" si="1"/>
        <v>158</v>
      </c>
      <c r="O67" s="42">
        <f t="shared" ca="1" si="4"/>
        <v>1</v>
      </c>
      <c r="S67" s="1">
        <f t="shared" si="7"/>
        <v>235</v>
      </c>
      <c r="T67" s="40">
        <f t="shared" si="9"/>
        <v>1</v>
      </c>
      <c r="U67" s="41">
        <f t="shared" si="10"/>
        <v>0</v>
      </c>
    </row>
    <row r="68" spans="2:21" x14ac:dyDescent="0.25">
      <c r="B68" s="22" t="s">
        <v>220</v>
      </c>
      <c r="C68" s="19">
        <f t="shared" ca="1" si="5"/>
        <v>0.34547292107012439</v>
      </c>
      <c r="D68" s="19">
        <f t="shared" ca="1" si="2"/>
        <v>0.34547292107012439</v>
      </c>
      <c r="E68" s="26" t="s">
        <v>517</v>
      </c>
      <c r="F68" s="11">
        <f t="shared" ca="1" si="3"/>
        <v>0</v>
      </c>
      <c r="K68" s="15" t="s">
        <v>817</v>
      </c>
      <c r="L68" s="16">
        <v>143</v>
      </c>
      <c r="M68" s="28">
        <f t="shared" ca="1" si="0"/>
        <v>138</v>
      </c>
      <c r="N68" s="28">
        <f t="shared" ca="1" si="1"/>
        <v>158</v>
      </c>
      <c r="O68" s="42">
        <f t="shared" ca="1" si="4"/>
        <v>1</v>
      </c>
      <c r="S68" s="1">
        <f t="shared" si="7"/>
        <v>240</v>
      </c>
      <c r="T68" s="40">
        <f t="shared" si="9"/>
        <v>1</v>
      </c>
      <c r="U68" s="41">
        <f t="shared" si="10"/>
        <v>0</v>
      </c>
    </row>
    <row r="69" spans="2:21" x14ac:dyDescent="0.25">
      <c r="B69" s="22" t="s">
        <v>221</v>
      </c>
      <c r="C69" s="19">
        <f t="shared" ca="1" si="5"/>
        <v>-1.0460055697337762</v>
      </c>
      <c r="D69" s="19">
        <f t="shared" ca="1" si="2"/>
        <v>-1.0460055697337762</v>
      </c>
      <c r="E69" s="26" t="s">
        <v>518</v>
      </c>
      <c r="F69" s="11">
        <f t="shared" ca="1" si="3"/>
        <v>1</v>
      </c>
      <c r="K69" s="15" t="s">
        <v>818</v>
      </c>
      <c r="L69" s="16">
        <v>151</v>
      </c>
      <c r="M69" s="28">
        <f t="shared" ca="1" si="0"/>
        <v>138</v>
      </c>
      <c r="N69" s="28">
        <f t="shared" ca="1" si="1"/>
        <v>158</v>
      </c>
      <c r="O69" s="42">
        <f t="shared" ca="1" si="4"/>
        <v>1</v>
      </c>
      <c r="S69" s="1">
        <f t="shared" si="7"/>
        <v>245</v>
      </c>
      <c r="T69" s="40">
        <f t="shared" si="9"/>
        <v>1</v>
      </c>
      <c r="U69" s="41">
        <f t="shared" si="10"/>
        <v>0</v>
      </c>
    </row>
    <row r="70" spans="2:21" x14ac:dyDescent="0.25">
      <c r="B70" s="22" t="s">
        <v>222</v>
      </c>
      <c r="C70" s="19">
        <f t="shared" ca="1" si="5"/>
        <v>1.5320949152226278</v>
      </c>
      <c r="D70" s="19">
        <f t="shared" ca="1" si="2"/>
        <v>1.5320949152226278</v>
      </c>
      <c r="E70" s="26" t="s">
        <v>519</v>
      </c>
      <c r="F70" s="11">
        <f t="shared" ca="1" si="3"/>
        <v>0</v>
      </c>
      <c r="K70" s="15" t="s">
        <v>819</v>
      </c>
      <c r="L70" s="16">
        <v>148</v>
      </c>
      <c r="M70" s="28">
        <f t="shared" ca="1" si="0"/>
        <v>138</v>
      </c>
      <c r="N70" s="28">
        <f t="shared" ca="1" si="1"/>
        <v>158</v>
      </c>
      <c r="O70" s="42">
        <f t="shared" ca="1" si="4"/>
        <v>1</v>
      </c>
      <c r="S70" s="1">
        <f t="shared" si="7"/>
        <v>250</v>
      </c>
      <c r="T70" s="40">
        <f t="shared" si="9"/>
        <v>1</v>
      </c>
      <c r="U70" s="41">
        <f t="shared" si="10"/>
        <v>0</v>
      </c>
    </row>
    <row r="71" spans="2:21" x14ac:dyDescent="0.25">
      <c r="B71" s="22" t="s">
        <v>223</v>
      </c>
      <c r="C71" s="19">
        <f t="shared" ca="1" si="5"/>
        <v>1.6563693255450842</v>
      </c>
      <c r="D71" s="19">
        <f t="shared" ca="1" si="2"/>
        <v>1.6563693255450842</v>
      </c>
      <c r="E71" s="26" t="s">
        <v>520</v>
      </c>
      <c r="F71" s="11">
        <f t="shared" ca="1" si="3"/>
        <v>0</v>
      </c>
      <c r="K71" s="15" t="s">
        <v>820</v>
      </c>
      <c r="L71" s="16">
        <v>156</v>
      </c>
      <c r="M71" s="28">
        <f t="shared" ca="1" si="0"/>
        <v>138</v>
      </c>
      <c r="N71" s="28">
        <f t="shared" ca="1" si="1"/>
        <v>158</v>
      </c>
      <c r="O71" s="42">
        <f t="shared" ca="1" si="4"/>
        <v>1</v>
      </c>
      <c r="S71" s="1">
        <f t="shared" si="7"/>
        <v>255</v>
      </c>
      <c r="T71" s="40">
        <f t="shared" si="9"/>
        <v>1</v>
      </c>
      <c r="U71" s="41">
        <f t="shared" si="10"/>
        <v>0</v>
      </c>
    </row>
    <row r="72" spans="2:21" x14ac:dyDescent="0.25">
      <c r="B72" s="22" t="s">
        <v>224</v>
      </c>
      <c r="C72" s="19">
        <f t="shared" ca="1" si="5"/>
        <v>1.1364046402187906</v>
      </c>
      <c r="D72" s="19">
        <f t="shared" ca="1" si="2"/>
        <v>1.1364046402187906</v>
      </c>
      <c r="E72" s="26" t="s">
        <v>521</v>
      </c>
      <c r="F72" s="11">
        <f t="shared" ca="1" si="3"/>
        <v>0</v>
      </c>
      <c r="K72" s="15" t="s">
        <v>821</v>
      </c>
      <c r="L72" s="16">
        <v>135</v>
      </c>
      <c r="M72" s="28">
        <f t="shared" ca="1" si="0"/>
        <v>138</v>
      </c>
      <c r="N72" s="28">
        <f t="shared" ca="1" si="1"/>
        <v>158</v>
      </c>
      <c r="O72" s="42">
        <f t="shared" ca="1" si="4"/>
        <v>0</v>
      </c>
      <c r="S72" s="1">
        <f t="shared" si="7"/>
        <v>260</v>
      </c>
      <c r="T72" s="40">
        <f t="shared" si="9"/>
        <v>1</v>
      </c>
      <c r="U72" s="41">
        <f t="shared" si="10"/>
        <v>0</v>
      </c>
    </row>
    <row r="73" spans="2:21" x14ac:dyDescent="0.25">
      <c r="B73" s="22" t="s">
        <v>225</v>
      </c>
      <c r="C73" s="19">
        <f t="shared" ca="1" si="5"/>
        <v>2.9456572561590373</v>
      </c>
      <c r="D73" s="19">
        <f t="shared" ca="1" si="2"/>
        <v>2.9456572561590373</v>
      </c>
      <c r="E73" s="26" t="s">
        <v>522</v>
      </c>
      <c r="F73" s="11">
        <f t="shared" ca="1" si="3"/>
        <v>0</v>
      </c>
      <c r="K73" s="15" t="s">
        <v>822</v>
      </c>
      <c r="L73" s="16">
        <v>152</v>
      </c>
      <c r="M73" s="28">
        <f t="shared" ca="1" si="0"/>
        <v>138</v>
      </c>
      <c r="N73" s="28">
        <f t="shared" ca="1" si="1"/>
        <v>158</v>
      </c>
      <c r="O73" s="42">
        <f t="shared" ca="1" si="4"/>
        <v>1</v>
      </c>
      <c r="S73" s="1">
        <f t="shared" si="7"/>
        <v>265</v>
      </c>
      <c r="T73" s="40">
        <f t="shared" si="9"/>
        <v>1</v>
      </c>
      <c r="U73" s="41">
        <f t="shared" si="10"/>
        <v>0</v>
      </c>
    </row>
    <row r="74" spans="2:21" x14ac:dyDescent="0.25">
      <c r="B74" s="22" t="s">
        <v>226</v>
      </c>
      <c r="C74" s="19">
        <f t="shared" ca="1" si="5"/>
        <v>-0.76961310124674942</v>
      </c>
      <c r="D74" s="19">
        <f t="shared" ca="1" si="2"/>
        <v>-0.76961310124674942</v>
      </c>
      <c r="E74" s="26" t="s">
        <v>523</v>
      </c>
      <c r="F74" s="11">
        <f t="shared" ca="1" si="3"/>
        <v>1</v>
      </c>
      <c r="K74" s="15" t="s">
        <v>823</v>
      </c>
      <c r="L74" s="16">
        <v>163</v>
      </c>
      <c r="M74" s="28">
        <f t="shared" ca="1" si="0"/>
        <v>138</v>
      </c>
      <c r="N74" s="28">
        <f t="shared" ca="1" si="1"/>
        <v>158</v>
      </c>
      <c r="O74" s="42">
        <f t="shared" ca="1" si="4"/>
        <v>0</v>
      </c>
      <c r="S74" s="1">
        <f t="shared" si="7"/>
        <v>270</v>
      </c>
      <c r="T74" s="40">
        <f t="shared" si="9"/>
        <v>1</v>
      </c>
      <c r="U74" s="41">
        <f t="shared" si="10"/>
        <v>0</v>
      </c>
    </row>
    <row r="75" spans="2:21" x14ac:dyDescent="0.25">
      <c r="B75" s="22" t="s">
        <v>227</v>
      </c>
      <c r="C75" s="19">
        <f t="shared" ca="1" si="5"/>
        <v>0.16467894967535018</v>
      </c>
      <c r="D75" s="19">
        <f t="shared" ca="1" si="2"/>
        <v>0.16467894967535018</v>
      </c>
      <c r="E75" s="26" t="s">
        <v>524</v>
      </c>
      <c r="F75" s="11">
        <f t="shared" ca="1" si="3"/>
        <v>0</v>
      </c>
      <c r="K75" s="15" t="s">
        <v>824</v>
      </c>
      <c r="L75" s="16">
        <v>157</v>
      </c>
      <c r="M75" s="28">
        <f t="shared" ref="M75:M138" ca="1" si="11">$I$14-epsilon</f>
        <v>138</v>
      </c>
      <c r="N75" s="28">
        <f t="shared" ref="N75:N138" ca="1" si="12">$I$14+epsilon</f>
        <v>158</v>
      </c>
      <c r="O75" s="42">
        <f t="shared" ca="1" si="4"/>
        <v>1</v>
      </c>
      <c r="S75" s="1">
        <f t="shared" si="7"/>
        <v>275</v>
      </c>
      <c r="T75" s="40">
        <f t="shared" si="9"/>
        <v>1</v>
      </c>
      <c r="U75" s="41">
        <f t="shared" si="10"/>
        <v>0</v>
      </c>
    </row>
    <row r="76" spans="2:21" x14ac:dyDescent="0.25">
      <c r="B76" s="22" t="s">
        <v>228</v>
      </c>
      <c r="C76" s="19">
        <f t="shared" ref="C76:C139" ca="1" si="13">NORMSINV(RAND())</f>
        <v>1.3041697606909901</v>
      </c>
      <c r="D76" s="19">
        <f t="shared" ref="D76:D139" ca="1" si="14">SQRT(rho)*$C$11+SQRT(1-rho)*C76</f>
        <v>1.3041697606909901</v>
      </c>
      <c r="E76" s="26" t="s">
        <v>525</v>
      </c>
      <c r="F76" s="11">
        <f t="shared" ref="F76:F139" ca="1" si="15">IF(D76&lt;NORMSINV(p),1,0)</f>
        <v>0</v>
      </c>
      <c r="K76" s="15" t="s">
        <v>825</v>
      </c>
      <c r="L76" s="16">
        <v>148</v>
      </c>
      <c r="M76" s="28">
        <f t="shared" ca="1" si="11"/>
        <v>138</v>
      </c>
      <c r="N76" s="28">
        <f t="shared" ca="1" si="12"/>
        <v>158</v>
      </c>
      <c r="O76" s="42">
        <f t="shared" ca="1" si="4"/>
        <v>1</v>
      </c>
      <c r="S76" s="1">
        <f t="shared" si="7"/>
        <v>280</v>
      </c>
      <c r="T76" s="40">
        <f t="shared" si="9"/>
        <v>1</v>
      </c>
      <c r="U76" s="41">
        <f t="shared" si="10"/>
        <v>0</v>
      </c>
    </row>
    <row r="77" spans="2:21" x14ac:dyDescent="0.25">
      <c r="B77" s="22" t="s">
        <v>229</v>
      </c>
      <c r="C77" s="19">
        <f t="shared" ca="1" si="13"/>
        <v>1.0425720760383976</v>
      </c>
      <c r="D77" s="19">
        <f t="shared" ca="1" si="14"/>
        <v>1.0425720760383976</v>
      </c>
      <c r="E77" s="26" t="s">
        <v>526</v>
      </c>
      <c r="F77" s="11">
        <f t="shared" ca="1" si="15"/>
        <v>0</v>
      </c>
      <c r="K77" s="15" t="s">
        <v>826</v>
      </c>
      <c r="L77" s="16">
        <v>142</v>
      </c>
      <c r="M77" s="28">
        <f t="shared" ca="1" si="11"/>
        <v>138</v>
      </c>
      <c r="N77" s="28">
        <f t="shared" ca="1" si="12"/>
        <v>158</v>
      </c>
      <c r="O77" s="42">
        <f t="shared" ref="O77:O140" ca="1" si="16">IF(AND(L77&gt;=M77,L77&lt;=N77),1,0)</f>
        <v>1</v>
      </c>
      <c r="S77" s="1">
        <f t="shared" si="7"/>
        <v>285</v>
      </c>
      <c r="T77" s="40">
        <f t="shared" si="9"/>
        <v>1</v>
      </c>
      <c r="U77" s="41">
        <f t="shared" si="10"/>
        <v>0</v>
      </c>
    </row>
    <row r="78" spans="2:21" x14ac:dyDescent="0.25">
      <c r="B78" s="22" t="s">
        <v>230</v>
      </c>
      <c r="C78" s="19">
        <f t="shared" ca="1" si="13"/>
        <v>0.12832875896121873</v>
      </c>
      <c r="D78" s="19">
        <f t="shared" ca="1" si="14"/>
        <v>0.12832875896121873</v>
      </c>
      <c r="E78" s="26" t="s">
        <v>527</v>
      </c>
      <c r="F78" s="11">
        <f t="shared" ca="1" si="15"/>
        <v>0</v>
      </c>
      <c r="K78" s="15" t="s">
        <v>827</v>
      </c>
      <c r="L78" s="16">
        <v>143</v>
      </c>
      <c r="M78" s="28">
        <f t="shared" ca="1" si="11"/>
        <v>138</v>
      </c>
      <c r="N78" s="28">
        <f t="shared" ca="1" si="12"/>
        <v>158</v>
      </c>
      <c r="O78" s="42">
        <f t="shared" ca="1" si="16"/>
        <v>1</v>
      </c>
      <c r="S78" s="1">
        <f t="shared" si="7"/>
        <v>290</v>
      </c>
      <c r="T78" s="40">
        <f t="shared" si="9"/>
        <v>1</v>
      </c>
      <c r="U78" s="41">
        <f t="shared" si="10"/>
        <v>0</v>
      </c>
    </row>
    <row r="79" spans="2:21" x14ac:dyDescent="0.25">
      <c r="B79" s="22" t="s">
        <v>231</v>
      </c>
      <c r="C79" s="19">
        <f t="shared" ca="1" si="13"/>
        <v>0.88661685970177828</v>
      </c>
      <c r="D79" s="19">
        <f t="shared" ca="1" si="14"/>
        <v>0.88661685970177828</v>
      </c>
      <c r="E79" s="26" t="s">
        <v>528</v>
      </c>
      <c r="F79" s="11">
        <f t="shared" ca="1" si="15"/>
        <v>0</v>
      </c>
      <c r="K79" s="15" t="s">
        <v>828</v>
      </c>
      <c r="L79" s="16">
        <v>163</v>
      </c>
      <c r="M79" s="28">
        <f t="shared" ca="1" si="11"/>
        <v>138</v>
      </c>
      <c r="N79" s="28">
        <f t="shared" ca="1" si="12"/>
        <v>158</v>
      </c>
      <c r="O79" s="42">
        <f t="shared" ca="1" si="16"/>
        <v>0</v>
      </c>
      <c r="S79" s="1">
        <f t="shared" si="7"/>
        <v>295</v>
      </c>
      <c r="T79" s="40">
        <f t="shared" ref="T79" si="17">COUNTIF(sims,"&lt;="&amp;S79)/numsims</f>
        <v>1</v>
      </c>
      <c r="U79" s="41">
        <f t="shared" ref="U79" si="18">T79-T78</f>
        <v>0</v>
      </c>
    </row>
    <row r="80" spans="2:21" x14ac:dyDescent="0.25">
      <c r="B80" s="22" t="s">
        <v>232</v>
      </c>
      <c r="C80" s="19">
        <f t="shared" ca="1" si="13"/>
        <v>-1.6208673535737277</v>
      </c>
      <c r="D80" s="19">
        <f t="shared" ca="1" si="14"/>
        <v>-1.6208673535737277</v>
      </c>
      <c r="E80" s="26" t="s">
        <v>529</v>
      </c>
      <c r="F80" s="11">
        <f t="shared" ca="1" si="15"/>
        <v>1</v>
      </c>
      <c r="K80" s="15" t="s">
        <v>829</v>
      </c>
      <c r="L80" s="16">
        <v>168</v>
      </c>
      <c r="M80" s="28">
        <f t="shared" ca="1" si="11"/>
        <v>138</v>
      </c>
      <c r="N80" s="28">
        <f t="shared" ca="1" si="12"/>
        <v>158</v>
      </c>
      <c r="O80" s="42">
        <f t="shared" ca="1" si="16"/>
        <v>0</v>
      </c>
      <c r="S80" s="1">
        <f t="shared" si="7"/>
        <v>300</v>
      </c>
      <c r="T80" s="40">
        <f t="shared" ref="T80" si="19">COUNTIF(sims,"&lt;="&amp;S80)/numsims</f>
        <v>1</v>
      </c>
      <c r="U80" s="41">
        <f t="shared" ref="U80" si="20">T80-T79</f>
        <v>0</v>
      </c>
    </row>
    <row r="81" spans="2:15" x14ac:dyDescent="0.25">
      <c r="B81" s="22" t="s">
        <v>233</v>
      </c>
      <c r="C81" s="19">
        <f t="shared" ca="1" si="13"/>
        <v>1.262927613330419</v>
      </c>
      <c r="D81" s="19">
        <f t="shared" ca="1" si="14"/>
        <v>1.262927613330419</v>
      </c>
      <c r="E81" s="26" t="s">
        <v>530</v>
      </c>
      <c r="F81" s="11">
        <f t="shared" ca="1" si="15"/>
        <v>0</v>
      </c>
      <c r="K81" s="15" t="s">
        <v>830</v>
      </c>
      <c r="L81" s="16">
        <v>154</v>
      </c>
      <c r="M81" s="28">
        <f t="shared" ca="1" si="11"/>
        <v>138</v>
      </c>
      <c r="N81" s="28">
        <f t="shared" ca="1" si="12"/>
        <v>158</v>
      </c>
      <c r="O81" s="42">
        <f t="shared" ca="1" si="16"/>
        <v>1</v>
      </c>
    </row>
    <row r="82" spans="2:15" x14ac:dyDescent="0.25">
      <c r="B82" s="22" t="s">
        <v>234</v>
      </c>
      <c r="C82" s="19">
        <f t="shared" ca="1" si="13"/>
        <v>-1.2472792245757214</v>
      </c>
      <c r="D82" s="19">
        <f t="shared" ca="1" si="14"/>
        <v>-1.2472792245757214</v>
      </c>
      <c r="E82" s="26" t="s">
        <v>531</v>
      </c>
      <c r="F82" s="11">
        <f t="shared" ca="1" si="15"/>
        <v>1</v>
      </c>
      <c r="K82" s="15" t="s">
        <v>831</v>
      </c>
      <c r="L82" s="16">
        <v>151</v>
      </c>
      <c r="M82" s="28">
        <f t="shared" ca="1" si="11"/>
        <v>138</v>
      </c>
      <c r="N82" s="28">
        <f t="shared" ca="1" si="12"/>
        <v>158</v>
      </c>
      <c r="O82" s="42">
        <f t="shared" ca="1" si="16"/>
        <v>1</v>
      </c>
    </row>
    <row r="83" spans="2:15" x14ac:dyDescent="0.25">
      <c r="B83" s="22" t="s">
        <v>235</v>
      </c>
      <c r="C83" s="19">
        <f t="shared" ca="1" si="13"/>
        <v>-2.0314171637192553</v>
      </c>
      <c r="D83" s="19">
        <f t="shared" ca="1" si="14"/>
        <v>-2.0314171637192553</v>
      </c>
      <c r="E83" s="26" t="s">
        <v>532</v>
      </c>
      <c r="F83" s="11">
        <f t="shared" ca="1" si="15"/>
        <v>1</v>
      </c>
      <c r="K83" s="15" t="s">
        <v>832</v>
      </c>
      <c r="L83" s="16">
        <v>149</v>
      </c>
      <c r="M83" s="28">
        <f t="shared" ca="1" si="11"/>
        <v>138</v>
      </c>
      <c r="N83" s="28">
        <f t="shared" ca="1" si="12"/>
        <v>158</v>
      </c>
      <c r="O83" s="42">
        <f t="shared" ca="1" si="16"/>
        <v>1</v>
      </c>
    </row>
    <row r="84" spans="2:15" x14ac:dyDescent="0.25">
      <c r="B84" s="22" t="s">
        <v>236</v>
      </c>
      <c r="C84" s="19">
        <f t="shared" ca="1" si="13"/>
        <v>0.57997322261527129</v>
      </c>
      <c r="D84" s="19">
        <f t="shared" ca="1" si="14"/>
        <v>0.57997322261527129</v>
      </c>
      <c r="E84" s="26" t="s">
        <v>533</v>
      </c>
      <c r="F84" s="11">
        <f t="shared" ca="1" si="15"/>
        <v>0</v>
      </c>
      <c r="K84" s="15" t="s">
        <v>833</v>
      </c>
      <c r="L84" s="16">
        <v>151</v>
      </c>
      <c r="M84" s="28">
        <f t="shared" ca="1" si="11"/>
        <v>138</v>
      </c>
      <c r="N84" s="28">
        <f t="shared" ca="1" si="12"/>
        <v>158</v>
      </c>
      <c r="O84" s="42">
        <f t="shared" ca="1" si="16"/>
        <v>1</v>
      </c>
    </row>
    <row r="85" spans="2:15" x14ac:dyDescent="0.25">
      <c r="B85" s="22" t="s">
        <v>237</v>
      </c>
      <c r="C85" s="19">
        <f t="shared" ca="1" si="13"/>
        <v>0.55803184310713771</v>
      </c>
      <c r="D85" s="19">
        <f t="shared" ca="1" si="14"/>
        <v>0.55803184310713771</v>
      </c>
      <c r="E85" s="26" t="s">
        <v>534</v>
      </c>
      <c r="F85" s="11">
        <f t="shared" ca="1" si="15"/>
        <v>0</v>
      </c>
      <c r="K85" s="15" t="s">
        <v>834</v>
      </c>
      <c r="L85" s="16">
        <v>144</v>
      </c>
      <c r="M85" s="28">
        <f t="shared" ca="1" si="11"/>
        <v>138</v>
      </c>
      <c r="N85" s="28">
        <f t="shared" ca="1" si="12"/>
        <v>158</v>
      </c>
      <c r="O85" s="42">
        <f t="shared" ca="1" si="16"/>
        <v>1</v>
      </c>
    </row>
    <row r="86" spans="2:15" x14ac:dyDescent="0.25">
      <c r="B86" s="22" t="s">
        <v>238</v>
      </c>
      <c r="C86" s="19">
        <f t="shared" ca="1" si="13"/>
        <v>2.3864501610745181</v>
      </c>
      <c r="D86" s="19">
        <f t="shared" ca="1" si="14"/>
        <v>2.3864501610745181</v>
      </c>
      <c r="E86" s="26" t="s">
        <v>535</v>
      </c>
      <c r="F86" s="11">
        <f t="shared" ca="1" si="15"/>
        <v>0</v>
      </c>
      <c r="K86" s="15" t="s">
        <v>835</v>
      </c>
      <c r="L86" s="16">
        <v>133</v>
      </c>
      <c r="M86" s="28">
        <f t="shared" ca="1" si="11"/>
        <v>138</v>
      </c>
      <c r="N86" s="28">
        <f t="shared" ca="1" si="12"/>
        <v>158</v>
      </c>
      <c r="O86" s="42">
        <f t="shared" ca="1" si="16"/>
        <v>0</v>
      </c>
    </row>
    <row r="87" spans="2:15" x14ac:dyDescent="0.25">
      <c r="B87" s="22" t="s">
        <v>239</v>
      </c>
      <c r="C87" s="19">
        <f t="shared" ca="1" si="13"/>
        <v>0.18067421915300977</v>
      </c>
      <c r="D87" s="19">
        <f t="shared" ca="1" si="14"/>
        <v>0.18067421915300977</v>
      </c>
      <c r="E87" s="26" t="s">
        <v>536</v>
      </c>
      <c r="F87" s="11">
        <f t="shared" ca="1" si="15"/>
        <v>0</v>
      </c>
      <c r="K87" s="15" t="s">
        <v>836</v>
      </c>
      <c r="L87" s="16">
        <v>140</v>
      </c>
      <c r="M87" s="28">
        <f t="shared" ca="1" si="11"/>
        <v>138</v>
      </c>
      <c r="N87" s="28">
        <f t="shared" ca="1" si="12"/>
        <v>158</v>
      </c>
      <c r="O87" s="42">
        <f t="shared" ca="1" si="16"/>
        <v>1</v>
      </c>
    </row>
    <row r="88" spans="2:15" x14ac:dyDescent="0.25">
      <c r="B88" s="22" t="s">
        <v>240</v>
      </c>
      <c r="C88" s="19">
        <f t="shared" ca="1" si="13"/>
        <v>-0.58427606898540196</v>
      </c>
      <c r="D88" s="19">
        <f t="shared" ca="1" si="14"/>
        <v>-0.58427606898540196</v>
      </c>
      <c r="E88" s="26" t="s">
        <v>537</v>
      </c>
      <c r="F88" s="11">
        <f t="shared" ca="1" si="15"/>
        <v>1</v>
      </c>
      <c r="K88" s="15" t="s">
        <v>837</v>
      </c>
      <c r="L88" s="16">
        <v>163</v>
      </c>
      <c r="M88" s="28">
        <f t="shared" ca="1" si="11"/>
        <v>138</v>
      </c>
      <c r="N88" s="28">
        <f t="shared" ca="1" si="12"/>
        <v>158</v>
      </c>
      <c r="O88" s="42">
        <f t="shared" ca="1" si="16"/>
        <v>0</v>
      </c>
    </row>
    <row r="89" spans="2:15" x14ac:dyDescent="0.25">
      <c r="B89" s="22" t="s">
        <v>241</v>
      </c>
      <c r="C89" s="19">
        <f t="shared" ca="1" si="13"/>
        <v>-0.23206418704296758</v>
      </c>
      <c r="D89" s="19">
        <f t="shared" ca="1" si="14"/>
        <v>-0.23206418704296758</v>
      </c>
      <c r="E89" s="26" t="s">
        <v>538</v>
      </c>
      <c r="F89" s="11">
        <f t="shared" ca="1" si="15"/>
        <v>1</v>
      </c>
      <c r="K89" s="15" t="s">
        <v>838</v>
      </c>
      <c r="L89" s="16">
        <v>136</v>
      </c>
      <c r="M89" s="28">
        <f t="shared" ca="1" si="11"/>
        <v>138</v>
      </c>
      <c r="N89" s="28">
        <f t="shared" ca="1" si="12"/>
        <v>158</v>
      </c>
      <c r="O89" s="42">
        <f t="shared" ca="1" si="16"/>
        <v>0</v>
      </c>
    </row>
    <row r="90" spans="2:15" x14ac:dyDescent="0.25">
      <c r="B90" s="22" t="s">
        <v>242</v>
      </c>
      <c r="C90" s="19">
        <f t="shared" ca="1" si="13"/>
        <v>-0.17276000143562742</v>
      </c>
      <c r="D90" s="19">
        <f t="shared" ca="1" si="14"/>
        <v>-0.17276000143562742</v>
      </c>
      <c r="E90" s="26" t="s">
        <v>539</v>
      </c>
      <c r="F90" s="11">
        <f t="shared" ca="1" si="15"/>
        <v>1</v>
      </c>
      <c r="K90" s="15" t="s">
        <v>839</v>
      </c>
      <c r="L90" s="16">
        <v>143</v>
      </c>
      <c r="M90" s="28">
        <f t="shared" ca="1" si="11"/>
        <v>138</v>
      </c>
      <c r="N90" s="28">
        <f t="shared" ca="1" si="12"/>
        <v>158</v>
      </c>
      <c r="O90" s="42">
        <f t="shared" ca="1" si="16"/>
        <v>1</v>
      </c>
    </row>
    <row r="91" spans="2:15" x14ac:dyDescent="0.25">
      <c r="B91" s="22" t="s">
        <v>243</v>
      </c>
      <c r="C91" s="19">
        <f t="shared" ca="1" si="13"/>
        <v>-0.56214843654401059</v>
      </c>
      <c r="D91" s="19">
        <f t="shared" ca="1" si="14"/>
        <v>-0.56214843654401059</v>
      </c>
      <c r="E91" s="26" t="s">
        <v>540</v>
      </c>
      <c r="F91" s="11">
        <f t="shared" ca="1" si="15"/>
        <v>1</v>
      </c>
      <c r="K91" s="15" t="s">
        <v>840</v>
      </c>
      <c r="L91" s="16">
        <v>144</v>
      </c>
      <c r="M91" s="28">
        <f t="shared" ca="1" si="11"/>
        <v>138</v>
      </c>
      <c r="N91" s="28">
        <f t="shared" ca="1" si="12"/>
        <v>158</v>
      </c>
      <c r="O91" s="42">
        <f t="shared" ca="1" si="16"/>
        <v>1</v>
      </c>
    </row>
    <row r="92" spans="2:15" x14ac:dyDescent="0.25">
      <c r="B92" s="22" t="s">
        <v>244</v>
      </c>
      <c r="C92" s="19">
        <f t="shared" ca="1" si="13"/>
        <v>2.3012408097278088</v>
      </c>
      <c r="D92" s="19">
        <f t="shared" ca="1" si="14"/>
        <v>2.3012408097278088</v>
      </c>
      <c r="E92" s="26" t="s">
        <v>541</v>
      </c>
      <c r="F92" s="11">
        <f t="shared" ca="1" si="15"/>
        <v>0</v>
      </c>
      <c r="K92" s="15" t="s">
        <v>841</v>
      </c>
      <c r="L92" s="16">
        <v>164</v>
      </c>
      <c r="M92" s="28">
        <f t="shared" ca="1" si="11"/>
        <v>138</v>
      </c>
      <c r="N92" s="28">
        <f t="shared" ca="1" si="12"/>
        <v>158</v>
      </c>
      <c r="O92" s="42">
        <f t="shared" ca="1" si="16"/>
        <v>0</v>
      </c>
    </row>
    <row r="93" spans="2:15" x14ac:dyDescent="0.25">
      <c r="B93" s="22" t="s">
        <v>245</v>
      </c>
      <c r="C93" s="19">
        <f t="shared" ca="1" si="13"/>
        <v>0.23003468808160452</v>
      </c>
      <c r="D93" s="19">
        <f t="shared" ca="1" si="14"/>
        <v>0.23003468808160452</v>
      </c>
      <c r="E93" s="26" t="s">
        <v>542</v>
      </c>
      <c r="F93" s="11">
        <f t="shared" ca="1" si="15"/>
        <v>0</v>
      </c>
      <c r="K93" s="15" t="s">
        <v>842</v>
      </c>
      <c r="L93" s="16">
        <v>151</v>
      </c>
      <c r="M93" s="28">
        <f t="shared" ca="1" si="11"/>
        <v>138</v>
      </c>
      <c r="N93" s="28">
        <f t="shared" ca="1" si="12"/>
        <v>158</v>
      </c>
      <c r="O93" s="42">
        <f t="shared" ca="1" si="16"/>
        <v>1</v>
      </c>
    </row>
    <row r="94" spans="2:15" x14ac:dyDescent="0.25">
      <c r="B94" s="22" t="s">
        <v>246</v>
      </c>
      <c r="C94" s="19">
        <f t="shared" ca="1" si="13"/>
        <v>1.0876075060564323</v>
      </c>
      <c r="D94" s="19">
        <f t="shared" ca="1" si="14"/>
        <v>1.0876075060564323</v>
      </c>
      <c r="E94" s="26" t="s">
        <v>543</v>
      </c>
      <c r="F94" s="11">
        <f t="shared" ca="1" si="15"/>
        <v>0</v>
      </c>
      <c r="K94" s="15" t="s">
        <v>843</v>
      </c>
      <c r="L94" s="16">
        <v>160</v>
      </c>
      <c r="M94" s="28">
        <f t="shared" ca="1" si="11"/>
        <v>138</v>
      </c>
      <c r="N94" s="28">
        <f t="shared" ca="1" si="12"/>
        <v>158</v>
      </c>
      <c r="O94" s="42">
        <f t="shared" ca="1" si="16"/>
        <v>0</v>
      </c>
    </row>
    <row r="95" spans="2:15" x14ac:dyDescent="0.25">
      <c r="B95" s="22" t="s">
        <v>247</v>
      </c>
      <c r="C95" s="19">
        <f t="shared" ca="1" si="13"/>
        <v>-0.71825599723784417</v>
      </c>
      <c r="D95" s="19">
        <f t="shared" ca="1" si="14"/>
        <v>-0.71825599723784417</v>
      </c>
      <c r="E95" s="26" t="s">
        <v>544</v>
      </c>
      <c r="F95" s="11">
        <f t="shared" ca="1" si="15"/>
        <v>1</v>
      </c>
      <c r="K95" s="15" t="s">
        <v>844</v>
      </c>
      <c r="L95" s="16">
        <v>141</v>
      </c>
      <c r="M95" s="28">
        <f t="shared" ca="1" si="11"/>
        <v>138</v>
      </c>
      <c r="N95" s="28">
        <f t="shared" ca="1" si="12"/>
        <v>158</v>
      </c>
      <c r="O95" s="42">
        <f t="shared" ca="1" si="16"/>
        <v>1</v>
      </c>
    </row>
    <row r="96" spans="2:15" x14ac:dyDescent="0.25">
      <c r="B96" s="22" t="s">
        <v>248</v>
      </c>
      <c r="C96" s="19">
        <f t="shared" ca="1" si="13"/>
        <v>-3.0341691677686278</v>
      </c>
      <c r="D96" s="19">
        <f t="shared" ca="1" si="14"/>
        <v>-3.0341691677686278</v>
      </c>
      <c r="E96" s="26" t="s">
        <v>545</v>
      </c>
      <c r="F96" s="11">
        <f t="shared" ca="1" si="15"/>
        <v>1</v>
      </c>
      <c r="K96" s="15" t="s">
        <v>845</v>
      </c>
      <c r="L96" s="16">
        <v>159</v>
      </c>
      <c r="M96" s="28">
        <f t="shared" ca="1" si="11"/>
        <v>138</v>
      </c>
      <c r="N96" s="28">
        <f t="shared" ca="1" si="12"/>
        <v>158</v>
      </c>
      <c r="O96" s="42">
        <f t="shared" ca="1" si="16"/>
        <v>0</v>
      </c>
    </row>
    <row r="97" spans="2:15" x14ac:dyDescent="0.25">
      <c r="B97" s="22" t="s">
        <v>249</v>
      </c>
      <c r="C97" s="19">
        <f t="shared" ca="1" si="13"/>
        <v>1.6001337384380381</v>
      </c>
      <c r="D97" s="19">
        <f t="shared" ca="1" si="14"/>
        <v>1.6001337384380381</v>
      </c>
      <c r="E97" s="26" t="s">
        <v>546</v>
      </c>
      <c r="F97" s="11">
        <f t="shared" ca="1" si="15"/>
        <v>0</v>
      </c>
      <c r="K97" s="15" t="s">
        <v>846</v>
      </c>
      <c r="L97" s="16">
        <v>150</v>
      </c>
      <c r="M97" s="28">
        <f t="shared" ca="1" si="11"/>
        <v>138</v>
      </c>
      <c r="N97" s="28">
        <f t="shared" ca="1" si="12"/>
        <v>158</v>
      </c>
      <c r="O97" s="42">
        <f t="shared" ca="1" si="16"/>
        <v>1</v>
      </c>
    </row>
    <row r="98" spans="2:15" x14ac:dyDescent="0.25">
      <c r="B98" s="22" t="s">
        <v>250</v>
      </c>
      <c r="C98" s="19">
        <f t="shared" ca="1" si="13"/>
        <v>0.45513883358353668</v>
      </c>
      <c r="D98" s="19">
        <f t="shared" ca="1" si="14"/>
        <v>0.45513883358353668</v>
      </c>
      <c r="E98" s="26" t="s">
        <v>547</v>
      </c>
      <c r="F98" s="11">
        <f t="shared" ca="1" si="15"/>
        <v>0</v>
      </c>
      <c r="K98" s="15" t="s">
        <v>847</v>
      </c>
      <c r="L98" s="16">
        <v>144</v>
      </c>
      <c r="M98" s="28">
        <f t="shared" ca="1" si="11"/>
        <v>138</v>
      </c>
      <c r="N98" s="28">
        <f t="shared" ca="1" si="12"/>
        <v>158</v>
      </c>
      <c r="O98" s="42">
        <f t="shared" ca="1" si="16"/>
        <v>1</v>
      </c>
    </row>
    <row r="99" spans="2:15" x14ac:dyDescent="0.25">
      <c r="B99" s="22" t="s">
        <v>251</v>
      </c>
      <c r="C99" s="19">
        <f t="shared" ca="1" si="13"/>
        <v>-0.27487461556593995</v>
      </c>
      <c r="D99" s="19">
        <f t="shared" ca="1" si="14"/>
        <v>-0.27487461556593995</v>
      </c>
      <c r="E99" s="26" t="s">
        <v>548</v>
      </c>
      <c r="F99" s="11">
        <f t="shared" ca="1" si="15"/>
        <v>1</v>
      </c>
      <c r="K99" s="15" t="s">
        <v>848</v>
      </c>
      <c r="L99" s="16">
        <v>161</v>
      </c>
      <c r="M99" s="28">
        <f t="shared" ca="1" si="11"/>
        <v>138</v>
      </c>
      <c r="N99" s="28">
        <f t="shared" ca="1" si="12"/>
        <v>158</v>
      </c>
      <c r="O99" s="42">
        <f t="shared" ca="1" si="16"/>
        <v>0</v>
      </c>
    </row>
    <row r="100" spans="2:15" x14ac:dyDescent="0.25">
      <c r="B100" s="22" t="s">
        <v>252</v>
      </c>
      <c r="C100" s="19">
        <f t="shared" ca="1" si="13"/>
        <v>-0.37203393848562943</v>
      </c>
      <c r="D100" s="19">
        <f t="shared" ca="1" si="14"/>
        <v>-0.37203393848562943</v>
      </c>
      <c r="E100" s="26" t="s">
        <v>549</v>
      </c>
      <c r="F100" s="11">
        <f t="shared" ca="1" si="15"/>
        <v>1</v>
      </c>
      <c r="K100" s="15" t="s">
        <v>849</v>
      </c>
      <c r="L100" s="16">
        <v>146</v>
      </c>
      <c r="M100" s="28">
        <f t="shared" ca="1" si="11"/>
        <v>138</v>
      </c>
      <c r="N100" s="28">
        <f t="shared" ca="1" si="12"/>
        <v>158</v>
      </c>
      <c r="O100" s="42">
        <f t="shared" ca="1" si="16"/>
        <v>1</v>
      </c>
    </row>
    <row r="101" spans="2:15" x14ac:dyDescent="0.25">
      <c r="B101" s="22" t="s">
        <v>253</v>
      </c>
      <c r="C101" s="19">
        <f t="shared" ca="1" si="13"/>
        <v>-0.1544138920126796</v>
      </c>
      <c r="D101" s="19">
        <f t="shared" ca="1" si="14"/>
        <v>-0.1544138920126796</v>
      </c>
      <c r="E101" s="26" t="s">
        <v>550</v>
      </c>
      <c r="F101" s="11">
        <f t="shared" ca="1" si="15"/>
        <v>1</v>
      </c>
      <c r="K101" s="15" t="s">
        <v>850</v>
      </c>
      <c r="L101" s="16">
        <v>160</v>
      </c>
      <c r="M101" s="28">
        <f t="shared" ca="1" si="11"/>
        <v>138</v>
      </c>
      <c r="N101" s="28">
        <f t="shared" ca="1" si="12"/>
        <v>158</v>
      </c>
      <c r="O101" s="42">
        <f t="shared" ca="1" si="16"/>
        <v>0</v>
      </c>
    </row>
    <row r="102" spans="2:15" x14ac:dyDescent="0.25">
      <c r="B102" s="22" t="s">
        <v>254</v>
      </c>
      <c r="C102" s="19">
        <f t="shared" ca="1" si="13"/>
        <v>-0.82624098844398641</v>
      </c>
      <c r="D102" s="19">
        <f t="shared" ca="1" si="14"/>
        <v>-0.82624098844398641</v>
      </c>
      <c r="E102" s="26" t="s">
        <v>551</v>
      </c>
      <c r="F102" s="11">
        <f t="shared" ca="1" si="15"/>
        <v>1</v>
      </c>
      <c r="K102" s="15" t="s">
        <v>851</v>
      </c>
      <c r="L102" s="16">
        <v>146</v>
      </c>
      <c r="M102" s="28">
        <f t="shared" ca="1" si="11"/>
        <v>138</v>
      </c>
      <c r="N102" s="28">
        <f t="shared" ca="1" si="12"/>
        <v>158</v>
      </c>
      <c r="O102" s="42">
        <f t="shared" ca="1" si="16"/>
        <v>1</v>
      </c>
    </row>
    <row r="103" spans="2:15" x14ac:dyDescent="0.25">
      <c r="B103" s="22" t="s">
        <v>255</v>
      </c>
      <c r="C103" s="19">
        <f t="shared" ca="1" si="13"/>
        <v>1.8070469222315362</v>
      </c>
      <c r="D103" s="19">
        <f t="shared" ca="1" si="14"/>
        <v>1.8070469222315362</v>
      </c>
      <c r="E103" s="26" t="s">
        <v>552</v>
      </c>
      <c r="F103" s="11">
        <f t="shared" ca="1" si="15"/>
        <v>0</v>
      </c>
      <c r="K103" s="15" t="s">
        <v>852</v>
      </c>
      <c r="L103" s="16">
        <v>165</v>
      </c>
      <c r="M103" s="28">
        <f t="shared" ca="1" si="11"/>
        <v>138</v>
      </c>
      <c r="N103" s="28">
        <f t="shared" ca="1" si="12"/>
        <v>158</v>
      </c>
      <c r="O103" s="42">
        <f t="shared" ca="1" si="16"/>
        <v>0</v>
      </c>
    </row>
    <row r="104" spans="2:15" x14ac:dyDescent="0.25">
      <c r="B104" s="22" t="s">
        <v>256</v>
      </c>
      <c r="C104" s="19">
        <f t="shared" ca="1" si="13"/>
        <v>-0.98985133046693763</v>
      </c>
      <c r="D104" s="19">
        <f t="shared" ca="1" si="14"/>
        <v>-0.98985133046693763</v>
      </c>
      <c r="E104" s="26" t="s">
        <v>553</v>
      </c>
      <c r="F104" s="11">
        <f t="shared" ca="1" si="15"/>
        <v>1</v>
      </c>
      <c r="K104" s="15" t="s">
        <v>853</v>
      </c>
      <c r="L104" s="16">
        <v>145</v>
      </c>
      <c r="M104" s="28">
        <f t="shared" ca="1" si="11"/>
        <v>138</v>
      </c>
      <c r="N104" s="28">
        <f t="shared" ca="1" si="12"/>
        <v>158</v>
      </c>
      <c r="O104" s="42">
        <f t="shared" ca="1" si="16"/>
        <v>1</v>
      </c>
    </row>
    <row r="105" spans="2:15" x14ac:dyDescent="0.25">
      <c r="B105" s="22" t="s">
        <v>257</v>
      </c>
      <c r="C105" s="19">
        <f t="shared" ca="1" si="13"/>
        <v>1.0491415623660978</v>
      </c>
      <c r="D105" s="19">
        <f t="shared" ca="1" si="14"/>
        <v>1.0491415623660978</v>
      </c>
      <c r="E105" s="26" t="s">
        <v>554</v>
      </c>
      <c r="F105" s="11">
        <f t="shared" ca="1" si="15"/>
        <v>0</v>
      </c>
      <c r="K105" s="15" t="s">
        <v>854</v>
      </c>
      <c r="L105" s="16">
        <v>166</v>
      </c>
      <c r="M105" s="28">
        <f t="shared" ca="1" si="11"/>
        <v>138</v>
      </c>
      <c r="N105" s="28">
        <f t="shared" ca="1" si="12"/>
        <v>158</v>
      </c>
      <c r="O105" s="42">
        <f t="shared" ca="1" si="16"/>
        <v>0</v>
      </c>
    </row>
    <row r="106" spans="2:15" x14ac:dyDescent="0.25">
      <c r="B106" s="22" t="s">
        <v>258</v>
      </c>
      <c r="C106" s="19">
        <f t="shared" ca="1" si="13"/>
        <v>-2.6550137074950735</v>
      </c>
      <c r="D106" s="19">
        <f t="shared" ca="1" si="14"/>
        <v>-2.6550137074950735</v>
      </c>
      <c r="E106" s="26" t="s">
        <v>555</v>
      </c>
      <c r="F106" s="11">
        <f t="shared" ca="1" si="15"/>
        <v>1</v>
      </c>
      <c r="K106" s="15" t="s">
        <v>855</v>
      </c>
      <c r="L106" s="16">
        <v>153</v>
      </c>
      <c r="M106" s="28">
        <f t="shared" ca="1" si="11"/>
        <v>138</v>
      </c>
      <c r="N106" s="28">
        <f t="shared" ca="1" si="12"/>
        <v>158</v>
      </c>
      <c r="O106" s="42">
        <f t="shared" ca="1" si="16"/>
        <v>1</v>
      </c>
    </row>
    <row r="107" spans="2:15" x14ac:dyDescent="0.25">
      <c r="B107" s="22" t="s">
        <v>259</v>
      </c>
      <c r="C107" s="19">
        <f t="shared" ca="1" si="13"/>
        <v>-0.24745829402724373</v>
      </c>
      <c r="D107" s="19">
        <f t="shared" ca="1" si="14"/>
        <v>-0.24745829402724373</v>
      </c>
      <c r="E107" s="26" t="s">
        <v>556</v>
      </c>
      <c r="F107" s="11">
        <f t="shared" ca="1" si="15"/>
        <v>1</v>
      </c>
      <c r="K107" s="15" t="s">
        <v>856</v>
      </c>
      <c r="L107" s="16">
        <v>155</v>
      </c>
      <c r="M107" s="28">
        <f t="shared" ca="1" si="11"/>
        <v>138</v>
      </c>
      <c r="N107" s="28">
        <f t="shared" ca="1" si="12"/>
        <v>158</v>
      </c>
      <c r="O107" s="42">
        <f t="shared" ca="1" si="16"/>
        <v>1</v>
      </c>
    </row>
    <row r="108" spans="2:15" x14ac:dyDescent="0.25">
      <c r="B108" s="22" t="s">
        <v>260</v>
      </c>
      <c r="C108" s="19">
        <f t="shared" ca="1" si="13"/>
        <v>-0.16228585253394626</v>
      </c>
      <c r="D108" s="19">
        <f t="shared" ca="1" si="14"/>
        <v>-0.16228585253394626</v>
      </c>
      <c r="E108" s="26" t="s">
        <v>557</v>
      </c>
      <c r="F108" s="11">
        <f t="shared" ca="1" si="15"/>
        <v>1</v>
      </c>
      <c r="K108" s="15" t="s">
        <v>857</v>
      </c>
      <c r="L108" s="16">
        <v>155</v>
      </c>
      <c r="M108" s="28">
        <f t="shared" ca="1" si="11"/>
        <v>138</v>
      </c>
      <c r="N108" s="28">
        <f t="shared" ca="1" si="12"/>
        <v>158</v>
      </c>
      <c r="O108" s="42">
        <f t="shared" ca="1" si="16"/>
        <v>1</v>
      </c>
    </row>
    <row r="109" spans="2:15" x14ac:dyDescent="0.25">
      <c r="B109" s="22" t="s">
        <v>261</v>
      </c>
      <c r="C109" s="19">
        <f t="shared" ca="1" si="13"/>
        <v>2.1748800125720296</v>
      </c>
      <c r="D109" s="19">
        <f t="shared" ca="1" si="14"/>
        <v>2.1748800125720296</v>
      </c>
      <c r="E109" s="26" t="s">
        <v>558</v>
      </c>
      <c r="F109" s="11">
        <f t="shared" ca="1" si="15"/>
        <v>0</v>
      </c>
      <c r="K109" s="15" t="s">
        <v>858</v>
      </c>
      <c r="L109" s="16">
        <v>147</v>
      </c>
      <c r="M109" s="28">
        <f t="shared" ca="1" si="11"/>
        <v>138</v>
      </c>
      <c r="N109" s="28">
        <f t="shared" ca="1" si="12"/>
        <v>158</v>
      </c>
      <c r="O109" s="42">
        <f t="shared" ca="1" si="16"/>
        <v>1</v>
      </c>
    </row>
    <row r="110" spans="2:15" x14ac:dyDescent="0.25">
      <c r="B110" s="22" t="s">
        <v>262</v>
      </c>
      <c r="C110" s="19">
        <f t="shared" ca="1" si="13"/>
        <v>-0.30817382616054351</v>
      </c>
      <c r="D110" s="19">
        <f t="shared" ca="1" si="14"/>
        <v>-0.30817382616054351</v>
      </c>
      <c r="E110" s="26" t="s">
        <v>559</v>
      </c>
      <c r="F110" s="11">
        <f t="shared" ca="1" si="15"/>
        <v>1</v>
      </c>
      <c r="K110" s="15" t="s">
        <v>859</v>
      </c>
      <c r="L110" s="16">
        <v>136</v>
      </c>
      <c r="M110" s="28">
        <f t="shared" ca="1" si="11"/>
        <v>138</v>
      </c>
      <c r="N110" s="28">
        <f t="shared" ca="1" si="12"/>
        <v>158</v>
      </c>
      <c r="O110" s="42">
        <f t="shared" ca="1" si="16"/>
        <v>0</v>
      </c>
    </row>
    <row r="111" spans="2:15" x14ac:dyDescent="0.25">
      <c r="B111" s="22" t="s">
        <v>263</v>
      </c>
      <c r="C111" s="19">
        <f t="shared" ca="1" si="13"/>
        <v>1.5977782367452344</v>
      </c>
      <c r="D111" s="19">
        <f t="shared" ca="1" si="14"/>
        <v>1.5977782367452344</v>
      </c>
      <c r="E111" s="26" t="s">
        <v>560</v>
      </c>
      <c r="F111" s="11">
        <f t="shared" ca="1" si="15"/>
        <v>0</v>
      </c>
      <c r="K111" s="15" t="s">
        <v>860</v>
      </c>
      <c r="L111" s="16">
        <v>162</v>
      </c>
      <c r="M111" s="28">
        <f t="shared" ca="1" si="11"/>
        <v>138</v>
      </c>
      <c r="N111" s="28">
        <f t="shared" ca="1" si="12"/>
        <v>158</v>
      </c>
      <c r="O111" s="42">
        <f t="shared" ca="1" si="16"/>
        <v>0</v>
      </c>
    </row>
    <row r="112" spans="2:15" x14ac:dyDescent="0.25">
      <c r="B112" s="22" t="s">
        <v>264</v>
      </c>
      <c r="C112" s="19">
        <f t="shared" ca="1" si="13"/>
        <v>0.87587492124151478</v>
      </c>
      <c r="D112" s="19">
        <f t="shared" ca="1" si="14"/>
        <v>0.87587492124151478</v>
      </c>
      <c r="E112" s="26" t="s">
        <v>561</v>
      </c>
      <c r="F112" s="11">
        <f t="shared" ca="1" si="15"/>
        <v>0</v>
      </c>
      <c r="K112" s="15" t="s">
        <v>861</v>
      </c>
      <c r="L112" s="16">
        <v>130</v>
      </c>
      <c r="M112" s="28">
        <f t="shared" ca="1" si="11"/>
        <v>138</v>
      </c>
      <c r="N112" s="28">
        <f t="shared" ca="1" si="12"/>
        <v>158</v>
      </c>
      <c r="O112" s="42">
        <f t="shared" ca="1" si="16"/>
        <v>0</v>
      </c>
    </row>
    <row r="113" spans="2:15" x14ac:dyDescent="0.25">
      <c r="B113" s="22" t="s">
        <v>265</v>
      </c>
      <c r="C113" s="19">
        <f t="shared" ca="1" si="13"/>
        <v>-1.0373911873943218</v>
      </c>
      <c r="D113" s="19">
        <f t="shared" ca="1" si="14"/>
        <v>-1.0373911873943218</v>
      </c>
      <c r="E113" s="26" t="s">
        <v>562</v>
      </c>
      <c r="F113" s="11">
        <f t="shared" ca="1" si="15"/>
        <v>1</v>
      </c>
      <c r="K113" s="15" t="s">
        <v>862</v>
      </c>
      <c r="L113" s="16">
        <v>155</v>
      </c>
      <c r="M113" s="28">
        <f t="shared" ca="1" si="11"/>
        <v>138</v>
      </c>
      <c r="N113" s="28">
        <f t="shared" ca="1" si="12"/>
        <v>158</v>
      </c>
      <c r="O113" s="42">
        <f t="shared" ca="1" si="16"/>
        <v>1</v>
      </c>
    </row>
    <row r="114" spans="2:15" x14ac:dyDescent="0.25">
      <c r="B114" s="22" t="s">
        <v>266</v>
      </c>
      <c r="C114" s="19">
        <f t="shared" ca="1" si="13"/>
        <v>1.9837835063670737</v>
      </c>
      <c r="D114" s="19">
        <f t="shared" ca="1" si="14"/>
        <v>1.9837835063670737</v>
      </c>
      <c r="E114" s="26" t="s">
        <v>563</v>
      </c>
      <c r="F114" s="11">
        <f t="shared" ca="1" si="15"/>
        <v>0</v>
      </c>
      <c r="K114" s="15" t="s">
        <v>863</v>
      </c>
      <c r="L114" s="16">
        <v>168</v>
      </c>
      <c r="M114" s="28">
        <f t="shared" ca="1" si="11"/>
        <v>138</v>
      </c>
      <c r="N114" s="28">
        <f t="shared" ca="1" si="12"/>
        <v>158</v>
      </c>
      <c r="O114" s="42">
        <f t="shared" ca="1" si="16"/>
        <v>0</v>
      </c>
    </row>
    <row r="115" spans="2:15" x14ac:dyDescent="0.25">
      <c r="B115" s="22" t="s">
        <v>267</v>
      </c>
      <c r="C115" s="19">
        <f t="shared" ca="1" si="13"/>
        <v>0.14571104669895149</v>
      </c>
      <c r="D115" s="19">
        <f t="shared" ca="1" si="14"/>
        <v>0.14571104669895149</v>
      </c>
      <c r="E115" s="26" t="s">
        <v>564</v>
      </c>
      <c r="F115" s="11">
        <f t="shared" ca="1" si="15"/>
        <v>0</v>
      </c>
      <c r="K115" s="15" t="s">
        <v>864</v>
      </c>
      <c r="L115" s="16">
        <v>146</v>
      </c>
      <c r="M115" s="28">
        <f t="shared" ca="1" si="11"/>
        <v>138</v>
      </c>
      <c r="N115" s="28">
        <f t="shared" ca="1" si="12"/>
        <v>158</v>
      </c>
      <c r="O115" s="42">
        <f t="shared" ca="1" si="16"/>
        <v>1</v>
      </c>
    </row>
    <row r="116" spans="2:15" x14ac:dyDescent="0.25">
      <c r="B116" s="22" t="s">
        <v>268</v>
      </c>
      <c r="C116" s="19">
        <f t="shared" ca="1" si="13"/>
        <v>-1.5709017606783162</v>
      </c>
      <c r="D116" s="19">
        <f t="shared" ca="1" si="14"/>
        <v>-1.5709017606783162</v>
      </c>
      <c r="E116" s="26" t="s">
        <v>565</v>
      </c>
      <c r="F116" s="11">
        <f t="shared" ca="1" si="15"/>
        <v>1</v>
      </c>
      <c r="K116" s="15" t="s">
        <v>865</v>
      </c>
      <c r="L116" s="16">
        <v>146</v>
      </c>
      <c r="M116" s="28">
        <f t="shared" ca="1" si="11"/>
        <v>138</v>
      </c>
      <c r="N116" s="28">
        <f t="shared" ca="1" si="12"/>
        <v>158</v>
      </c>
      <c r="O116" s="42">
        <f t="shared" ca="1" si="16"/>
        <v>1</v>
      </c>
    </row>
    <row r="117" spans="2:15" x14ac:dyDescent="0.25">
      <c r="B117" s="22" t="s">
        <v>269</v>
      </c>
      <c r="C117" s="19">
        <f t="shared" ca="1" si="13"/>
        <v>1.1903357064959881</v>
      </c>
      <c r="D117" s="19">
        <f t="shared" ca="1" si="14"/>
        <v>1.1903357064959881</v>
      </c>
      <c r="E117" s="26" t="s">
        <v>566</v>
      </c>
      <c r="F117" s="11">
        <f t="shared" ca="1" si="15"/>
        <v>0</v>
      </c>
      <c r="K117" s="15" t="s">
        <v>866</v>
      </c>
      <c r="L117" s="16">
        <v>164</v>
      </c>
      <c r="M117" s="28">
        <f t="shared" ca="1" si="11"/>
        <v>138</v>
      </c>
      <c r="N117" s="28">
        <f t="shared" ca="1" si="12"/>
        <v>158</v>
      </c>
      <c r="O117" s="42">
        <f t="shared" ca="1" si="16"/>
        <v>0</v>
      </c>
    </row>
    <row r="118" spans="2:15" x14ac:dyDescent="0.25">
      <c r="B118" s="22" t="s">
        <v>270</v>
      </c>
      <c r="C118" s="19">
        <f t="shared" ca="1" si="13"/>
        <v>0.20851266727583045</v>
      </c>
      <c r="D118" s="19">
        <f t="shared" ca="1" si="14"/>
        <v>0.20851266727583045</v>
      </c>
      <c r="E118" s="26" t="s">
        <v>567</v>
      </c>
      <c r="F118" s="11">
        <f t="shared" ca="1" si="15"/>
        <v>0</v>
      </c>
      <c r="K118" s="15" t="s">
        <v>867</v>
      </c>
      <c r="L118" s="16">
        <v>150</v>
      </c>
      <c r="M118" s="28">
        <f t="shared" ca="1" si="11"/>
        <v>138</v>
      </c>
      <c r="N118" s="28">
        <f t="shared" ca="1" si="12"/>
        <v>158</v>
      </c>
      <c r="O118" s="42">
        <f t="shared" ca="1" si="16"/>
        <v>1</v>
      </c>
    </row>
    <row r="119" spans="2:15" x14ac:dyDescent="0.25">
      <c r="B119" s="22" t="s">
        <v>271</v>
      </c>
      <c r="C119" s="19">
        <f t="shared" ca="1" si="13"/>
        <v>-5.6869898606094489E-4</v>
      </c>
      <c r="D119" s="19">
        <f t="shared" ca="1" si="14"/>
        <v>-5.6869898606094489E-4</v>
      </c>
      <c r="E119" s="26" t="s">
        <v>568</v>
      </c>
      <c r="F119" s="11">
        <f t="shared" ca="1" si="15"/>
        <v>1</v>
      </c>
      <c r="K119" s="15" t="s">
        <v>868</v>
      </c>
      <c r="L119" s="16">
        <v>159</v>
      </c>
      <c r="M119" s="28">
        <f t="shared" ca="1" si="11"/>
        <v>138</v>
      </c>
      <c r="N119" s="28">
        <f t="shared" ca="1" si="12"/>
        <v>158</v>
      </c>
      <c r="O119" s="42">
        <f t="shared" ca="1" si="16"/>
        <v>0</v>
      </c>
    </row>
    <row r="120" spans="2:15" x14ac:dyDescent="0.25">
      <c r="B120" s="22" t="s">
        <v>272</v>
      </c>
      <c r="C120" s="19">
        <f t="shared" ca="1" si="13"/>
        <v>-0.36155174288414466</v>
      </c>
      <c r="D120" s="19">
        <f t="shared" ca="1" si="14"/>
        <v>-0.36155174288414466</v>
      </c>
      <c r="E120" s="26" t="s">
        <v>569</v>
      </c>
      <c r="F120" s="11">
        <f t="shared" ca="1" si="15"/>
        <v>1</v>
      </c>
      <c r="K120" s="15" t="s">
        <v>869</v>
      </c>
      <c r="L120" s="16">
        <v>146</v>
      </c>
      <c r="M120" s="28">
        <f t="shared" ca="1" si="11"/>
        <v>138</v>
      </c>
      <c r="N120" s="28">
        <f t="shared" ca="1" si="12"/>
        <v>158</v>
      </c>
      <c r="O120" s="42">
        <f t="shared" ca="1" si="16"/>
        <v>1</v>
      </c>
    </row>
    <row r="121" spans="2:15" x14ac:dyDescent="0.25">
      <c r="B121" s="22" t="s">
        <v>273</v>
      </c>
      <c r="C121" s="19">
        <f t="shared" ca="1" si="13"/>
        <v>0.8324112565007028</v>
      </c>
      <c r="D121" s="19">
        <f t="shared" ca="1" si="14"/>
        <v>0.8324112565007028</v>
      </c>
      <c r="E121" s="26" t="s">
        <v>570</v>
      </c>
      <c r="F121" s="11">
        <f t="shared" ca="1" si="15"/>
        <v>0</v>
      </c>
      <c r="K121" s="15" t="s">
        <v>870</v>
      </c>
      <c r="L121" s="16">
        <v>144</v>
      </c>
      <c r="M121" s="28">
        <f t="shared" ca="1" si="11"/>
        <v>138</v>
      </c>
      <c r="N121" s="28">
        <f t="shared" ca="1" si="12"/>
        <v>158</v>
      </c>
      <c r="O121" s="42">
        <f t="shared" ca="1" si="16"/>
        <v>1</v>
      </c>
    </row>
    <row r="122" spans="2:15" x14ac:dyDescent="0.25">
      <c r="B122" s="22" t="s">
        <v>274</v>
      </c>
      <c r="C122" s="19">
        <f t="shared" ca="1" si="13"/>
        <v>0.12774240487834806</v>
      </c>
      <c r="D122" s="19">
        <f t="shared" ca="1" si="14"/>
        <v>0.12774240487834806</v>
      </c>
      <c r="E122" s="26" t="s">
        <v>571</v>
      </c>
      <c r="F122" s="11">
        <f t="shared" ca="1" si="15"/>
        <v>0</v>
      </c>
      <c r="K122" s="15" t="s">
        <v>871</v>
      </c>
      <c r="L122" s="16">
        <v>152</v>
      </c>
      <c r="M122" s="28">
        <f t="shared" ca="1" si="11"/>
        <v>138</v>
      </c>
      <c r="N122" s="28">
        <f t="shared" ca="1" si="12"/>
        <v>158</v>
      </c>
      <c r="O122" s="42">
        <f t="shared" ca="1" si="16"/>
        <v>1</v>
      </c>
    </row>
    <row r="123" spans="2:15" x14ac:dyDescent="0.25">
      <c r="B123" s="22" t="s">
        <v>275</v>
      </c>
      <c r="C123" s="19">
        <f t="shared" ca="1" si="13"/>
        <v>0.18398569149950703</v>
      </c>
      <c r="D123" s="19">
        <f t="shared" ca="1" si="14"/>
        <v>0.18398569149950703</v>
      </c>
      <c r="E123" s="26" t="s">
        <v>572</v>
      </c>
      <c r="F123" s="11">
        <f t="shared" ca="1" si="15"/>
        <v>0</v>
      </c>
      <c r="K123" s="15" t="s">
        <v>872</v>
      </c>
      <c r="L123" s="16">
        <v>151</v>
      </c>
      <c r="M123" s="28">
        <f t="shared" ca="1" si="11"/>
        <v>138</v>
      </c>
      <c r="N123" s="28">
        <f t="shared" ca="1" si="12"/>
        <v>158</v>
      </c>
      <c r="O123" s="42">
        <f t="shared" ca="1" si="16"/>
        <v>1</v>
      </c>
    </row>
    <row r="124" spans="2:15" x14ac:dyDescent="0.25">
      <c r="B124" s="22" t="s">
        <v>276</v>
      </c>
      <c r="C124" s="19">
        <f t="shared" ca="1" si="13"/>
        <v>0.29528795852105166</v>
      </c>
      <c r="D124" s="19">
        <f t="shared" ca="1" si="14"/>
        <v>0.29528795852105166</v>
      </c>
      <c r="E124" s="26" t="s">
        <v>573</v>
      </c>
      <c r="F124" s="11">
        <f t="shared" ca="1" si="15"/>
        <v>0</v>
      </c>
      <c r="K124" s="15" t="s">
        <v>873</v>
      </c>
      <c r="L124" s="16">
        <v>154</v>
      </c>
      <c r="M124" s="28">
        <f t="shared" ca="1" si="11"/>
        <v>138</v>
      </c>
      <c r="N124" s="28">
        <f t="shared" ca="1" si="12"/>
        <v>158</v>
      </c>
      <c r="O124" s="42">
        <f t="shared" ca="1" si="16"/>
        <v>1</v>
      </c>
    </row>
    <row r="125" spans="2:15" x14ac:dyDescent="0.25">
      <c r="B125" s="22" t="s">
        <v>277</v>
      </c>
      <c r="C125" s="19">
        <f t="shared" ca="1" si="13"/>
        <v>-0.66850499351401749</v>
      </c>
      <c r="D125" s="19">
        <f t="shared" ca="1" si="14"/>
        <v>-0.66850499351401749</v>
      </c>
      <c r="E125" s="26" t="s">
        <v>574</v>
      </c>
      <c r="F125" s="11">
        <f t="shared" ca="1" si="15"/>
        <v>1</v>
      </c>
      <c r="K125" s="15" t="s">
        <v>874</v>
      </c>
      <c r="L125" s="16">
        <v>144</v>
      </c>
      <c r="M125" s="28">
        <f t="shared" ca="1" si="11"/>
        <v>138</v>
      </c>
      <c r="N125" s="28">
        <f t="shared" ca="1" si="12"/>
        <v>158</v>
      </c>
      <c r="O125" s="42">
        <f t="shared" ca="1" si="16"/>
        <v>1</v>
      </c>
    </row>
    <row r="126" spans="2:15" x14ac:dyDescent="0.25">
      <c r="B126" s="22" t="s">
        <v>278</v>
      </c>
      <c r="C126" s="19">
        <f t="shared" ca="1" si="13"/>
        <v>0.16841203582370723</v>
      </c>
      <c r="D126" s="19">
        <f t="shared" ca="1" si="14"/>
        <v>0.16841203582370723</v>
      </c>
      <c r="E126" s="26" t="s">
        <v>575</v>
      </c>
      <c r="F126" s="11">
        <f t="shared" ca="1" si="15"/>
        <v>0</v>
      </c>
      <c r="K126" s="15" t="s">
        <v>875</v>
      </c>
      <c r="L126" s="16">
        <v>146</v>
      </c>
      <c r="M126" s="28">
        <f t="shared" ca="1" si="11"/>
        <v>138</v>
      </c>
      <c r="N126" s="28">
        <f t="shared" ca="1" si="12"/>
        <v>158</v>
      </c>
      <c r="O126" s="42">
        <f t="shared" ca="1" si="16"/>
        <v>1</v>
      </c>
    </row>
    <row r="127" spans="2:15" x14ac:dyDescent="0.25">
      <c r="B127" s="22" t="s">
        <v>279</v>
      </c>
      <c r="C127" s="19">
        <f t="shared" ca="1" si="13"/>
        <v>-1.132766376183584</v>
      </c>
      <c r="D127" s="19">
        <f t="shared" ca="1" si="14"/>
        <v>-1.132766376183584</v>
      </c>
      <c r="E127" s="26" t="s">
        <v>576</v>
      </c>
      <c r="F127" s="11">
        <f t="shared" ca="1" si="15"/>
        <v>1</v>
      </c>
      <c r="K127" s="15" t="s">
        <v>876</v>
      </c>
      <c r="L127" s="16">
        <v>152</v>
      </c>
      <c r="M127" s="28">
        <f t="shared" ca="1" si="11"/>
        <v>138</v>
      </c>
      <c r="N127" s="28">
        <f t="shared" ca="1" si="12"/>
        <v>158</v>
      </c>
      <c r="O127" s="42">
        <f t="shared" ca="1" si="16"/>
        <v>1</v>
      </c>
    </row>
    <row r="128" spans="2:15" x14ac:dyDescent="0.25">
      <c r="B128" s="22" t="s">
        <v>280</v>
      </c>
      <c r="C128" s="19">
        <f t="shared" ca="1" si="13"/>
        <v>0.44888213978988711</v>
      </c>
      <c r="D128" s="19">
        <f t="shared" ca="1" si="14"/>
        <v>0.44888213978988711</v>
      </c>
      <c r="E128" s="26" t="s">
        <v>577</v>
      </c>
      <c r="F128" s="11">
        <f t="shared" ca="1" si="15"/>
        <v>0</v>
      </c>
      <c r="K128" s="15" t="s">
        <v>877</v>
      </c>
      <c r="L128" s="16">
        <v>140</v>
      </c>
      <c r="M128" s="28">
        <f t="shared" ca="1" si="11"/>
        <v>138</v>
      </c>
      <c r="N128" s="28">
        <f t="shared" ca="1" si="12"/>
        <v>158</v>
      </c>
      <c r="O128" s="42">
        <f t="shared" ca="1" si="16"/>
        <v>1</v>
      </c>
    </row>
    <row r="129" spans="2:15" x14ac:dyDescent="0.25">
      <c r="B129" s="22" t="s">
        <v>281</v>
      </c>
      <c r="C129" s="19">
        <f t="shared" ca="1" si="13"/>
        <v>1.8963511226975018</v>
      </c>
      <c r="D129" s="19">
        <f t="shared" ca="1" si="14"/>
        <v>1.8963511226975018</v>
      </c>
      <c r="E129" s="26" t="s">
        <v>578</v>
      </c>
      <c r="F129" s="11">
        <f t="shared" ca="1" si="15"/>
        <v>0</v>
      </c>
      <c r="K129" s="15" t="s">
        <v>878</v>
      </c>
      <c r="L129" s="16">
        <v>138</v>
      </c>
      <c r="M129" s="28">
        <f t="shared" ca="1" si="11"/>
        <v>138</v>
      </c>
      <c r="N129" s="28">
        <f t="shared" ca="1" si="12"/>
        <v>158</v>
      </c>
      <c r="O129" s="42">
        <f t="shared" ca="1" si="16"/>
        <v>1</v>
      </c>
    </row>
    <row r="130" spans="2:15" x14ac:dyDescent="0.25">
      <c r="B130" s="22" t="s">
        <v>282</v>
      </c>
      <c r="C130" s="19">
        <f t="shared" ca="1" si="13"/>
        <v>-0.86851166334364394</v>
      </c>
      <c r="D130" s="19">
        <f t="shared" ca="1" si="14"/>
        <v>-0.86851166334364394</v>
      </c>
      <c r="E130" s="26" t="s">
        <v>579</v>
      </c>
      <c r="F130" s="11">
        <f t="shared" ca="1" si="15"/>
        <v>1</v>
      </c>
      <c r="K130" s="15" t="s">
        <v>879</v>
      </c>
      <c r="L130" s="16">
        <v>148</v>
      </c>
      <c r="M130" s="28">
        <f t="shared" ca="1" si="11"/>
        <v>138</v>
      </c>
      <c r="N130" s="28">
        <f t="shared" ca="1" si="12"/>
        <v>158</v>
      </c>
      <c r="O130" s="42">
        <f t="shared" ca="1" si="16"/>
        <v>1</v>
      </c>
    </row>
    <row r="131" spans="2:15" x14ac:dyDescent="0.25">
      <c r="B131" s="22" t="s">
        <v>283</v>
      </c>
      <c r="C131" s="19">
        <f t="shared" ca="1" si="13"/>
        <v>-0.17495629362236842</v>
      </c>
      <c r="D131" s="19">
        <f t="shared" ca="1" si="14"/>
        <v>-0.17495629362236842</v>
      </c>
      <c r="E131" s="26" t="s">
        <v>580</v>
      </c>
      <c r="F131" s="11">
        <f t="shared" ca="1" si="15"/>
        <v>1</v>
      </c>
      <c r="K131" s="15" t="s">
        <v>880</v>
      </c>
      <c r="L131" s="16">
        <v>152</v>
      </c>
      <c r="M131" s="28">
        <f t="shared" ca="1" si="11"/>
        <v>138</v>
      </c>
      <c r="N131" s="28">
        <f t="shared" ca="1" si="12"/>
        <v>158</v>
      </c>
      <c r="O131" s="42">
        <f t="shared" ca="1" si="16"/>
        <v>1</v>
      </c>
    </row>
    <row r="132" spans="2:15" x14ac:dyDescent="0.25">
      <c r="B132" s="22" t="s">
        <v>284</v>
      </c>
      <c r="C132" s="19">
        <f t="shared" ca="1" si="13"/>
        <v>1.1951717369130166</v>
      </c>
      <c r="D132" s="19">
        <f t="shared" ca="1" si="14"/>
        <v>1.1951717369130166</v>
      </c>
      <c r="E132" s="26" t="s">
        <v>581</v>
      </c>
      <c r="F132" s="11">
        <f t="shared" ca="1" si="15"/>
        <v>0</v>
      </c>
      <c r="K132" s="15" t="s">
        <v>881</v>
      </c>
      <c r="L132" s="16">
        <v>154</v>
      </c>
      <c r="M132" s="28">
        <f t="shared" ca="1" si="11"/>
        <v>138</v>
      </c>
      <c r="N132" s="28">
        <f t="shared" ca="1" si="12"/>
        <v>158</v>
      </c>
      <c r="O132" s="42">
        <f t="shared" ca="1" si="16"/>
        <v>1</v>
      </c>
    </row>
    <row r="133" spans="2:15" x14ac:dyDescent="0.25">
      <c r="B133" s="22" t="s">
        <v>285</v>
      </c>
      <c r="C133" s="19">
        <f t="shared" ca="1" si="13"/>
        <v>0.22288327950035675</v>
      </c>
      <c r="D133" s="19">
        <f t="shared" ca="1" si="14"/>
        <v>0.22288327950035675</v>
      </c>
      <c r="E133" s="26" t="s">
        <v>582</v>
      </c>
      <c r="F133" s="11">
        <f t="shared" ca="1" si="15"/>
        <v>0</v>
      </c>
      <c r="K133" s="15" t="s">
        <v>882</v>
      </c>
      <c r="L133" s="16">
        <v>148</v>
      </c>
      <c r="M133" s="28">
        <f t="shared" ca="1" si="11"/>
        <v>138</v>
      </c>
      <c r="N133" s="28">
        <f t="shared" ca="1" si="12"/>
        <v>158</v>
      </c>
      <c r="O133" s="42">
        <f t="shared" ca="1" si="16"/>
        <v>1</v>
      </c>
    </row>
    <row r="134" spans="2:15" x14ac:dyDescent="0.25">
      <c r="B134" s="22" t="s">
        <v>286</v>
      </c>
      <c r="C134" s="19">
        <f t="shared" ca="1" si="13"/>
        <v>1.7296914027657544</v>
      </c>
      <c r="D134" s="19">
        <f t="shared" ca="1" si="14"/>
        <v>1.7296914027657544</v>
      </c>
      <c r="E134" s="26" t="s">
        <v>583</v>
      </c>
      <c r="F134" s="11">
        <f t="shared" ca="1" si="15"/>
        <v>0</v>
      </c>
      <c r="K134" s="15" t="s">
        <v>883</v>
      </c>
      <c r="L134" s="16">
        <v>152</v>
      </c>
      <c r="M134" s="28">
        <f t="shared" ca="1" si="11"/>
        <v>138</v>
      </c>
      <c r="N134" s="28">
        <f t="shared" ca="1" si="12"/>
        <v>158</v>
      </c>
      <c r="O134" s="42">
        <f t="shared" ca="1" si="16"/>
        <v>1</v>
      </c>
    </row>
    <row r="135" spans="2:15" x14ac:dyDescent="0.25">
      <c r="B135" s="22" t="s">
        <v>287</v>
      </c>
      <c r="C135" s="19">
        <f t="shared" ca="1" si="13"/>
        <v>0.95661327914794969</v>
      </c>
      <c r="D135" s="19">
        <f t="shared" ca="1" si="14"/>
        <v>0.95661327914794969</v>
      </c>
      <c r="E135" s="26" t="s">
        <v>584</v>
      </c>
      <c r="F135" s="11">
        <f t="shared" ca="1" si="15"/>
        <v>0</v>
      </c>
      <c r="K135" s="15" t="s">
        <v>884</v>
      </c>
      <c r="L135" s="16">
        <v>150</v>
      </c>
      <c r="M135" s="28">
        <f t="shared" ca="1" si="11"/>
        <v>138</v>
      </c>
      <c r="N135" s="28">
        <f t="shared" ca="1" si="12"/>
        <v>158</v>
      </c>
      <c r="O135" s="42">
        <f t="shared" ca="1" si="16"/>
        <v>1</v>
      </c>
    </row>
    <row r="136" spans="2:15" x14ac:dyDescent="0.25">
      <c r="B136" s="22" t="s">
        <v>288</v>
      </c>
      <c r="C136" s="19">
        <f t="shared" ca="1" si="13"/>
        <v>-1.1746505470390187</v>
      </c>
      <c r="D136" s="19">
        <f t="shared" ca="1" si="14"/>
        <v>-1.1746505470390187</v>
      </c>
      <c r="E136" s="26" t="s">
        <v>585</v>
      </c>
      <c r="F136" s="11">
        <f t="shared" ca="1" si="15"/>
        <v>1</v>
      </c>
      <c r="K136" s="15" t="s">
        <v>885</v>
      </c>
      <c r="L136" s="16">
        <v>161</v>
      </c>
      <c r="M136" s="28">
        <f t="shared" ca="1" si="11"/>
        <v>138</v>
      </c>
      <c r="N136" s="28">
        <f t="shared" ca="1" si="12"/>
        <v>158</v>
      </c>
      <c r="O136" s="42">
        <f t="shared" ca="1" si="16"/>
        <v>0</v>
      </c>
    </row>
    <row r="137" spans="2:15" x14ac:dyDescent="0.25">
      <c r="B137" s="22" t="s">
        <v>289</v>
      </c>
      <c r="C137" s="19">
        <f t="shared" ca="1" si="13"/>
        <v>0.97952999026837195</v>
      </c>
      <c r="D137" s="19">
        <f t="shared" ca="1" si="14"/>
        <v>0.97952999026837195</v>
      </c>
      <c r="E137" s="26" t="s">
        <v>586</v>
      </c>
      <c r="F137" s="11">
        <f t="shared" ca="1" si="15"/>
        <v>0</v>
      </c>
      <c r="K137" s="15" t="s">
        <v>886</v>
      </c>
      <c r="L137" s="16">
        <v>134</v>
      </c>
      <c r="M137" s="28">
        <f t="shared" ca="1" si="11"/>
        <v>138</v>
      </c>
      <c r="N137" s="28">
        <f t="shared" ca="1" si="12"/>
        <v>158</v>
      </c>
      <c r="O137" s="42">
        <f t="shared" ca="1" si="16"/>
        <v>0</v>
      </c>
    </row>
    <row r="138" spans="2:15" x14ac:dyDescent="0.25">
      <c r="B138" s="22" t="s">
        <v>290</v>
      </c>
      <c r="C138" s="19">
        <f t="shared" ca="1" si="13"/>
        <v>0.59066663933529762</v>
      </c>
      <c r="D138" s="19">
        <f t="shared" ca="1" si="14"/>
        <v>0.59066663933529762</v>
      </c>
      <c r="E138" s="26" t="s">
        <v>587</v>
      </c>
      <c r="F138" s="11">
        <f t="shared" ca="1" si="15"/>
        <v>0</v>
      </c>
      <c r="K138" s="15" t="s">
        <v>887</v>
      </c>
      <c r="L138" s="16">
        <v>141</v>
      </c>
      <c r="M138" s="28">
        <f t="shared" ca="1" si="11"/>
        <v>138</v>
      </c>
      <c r="N138" s="28">
        <f t="shared" ca="1" si="12"/>
        <v>158</v>
      </c>
      <c r="O138" s="42">
        <f t="shared" ca="1" si="16"/>
        <v>1</v>
      </c>
    </row>
    <row r="139" spans="2:15" x14ac:dyDescent="0.25">
      <c r="B139" s="22" t="s">
        <v>291</v>
      </c>
      <c r="C139" s="19">
        <f t="shared" ca="1" si="13"/>
        <v>0.89730428321948219</v>
      </c>
      <c r="D139" s="19">
        <f t="shared" ca="1" si="14"/>
        <v>0.89730428321948219</v>
      </c>
      <c r="E139" s="26" t="s">
        <v>588</v>
      </c>
      <c r="F139" s="11">
        <f t="shared" ca="1" si="15"/>
        <v>0</v>
      </c>
      <c r="K139" s="15" t="s">
        <v>888</v>
      </c>
      <c r="L139" s="16">
        <v>150</v>
      </c>
      <c r="M139" s="28">
        <f t="shared" ref="M139:M202" ca="1" si="21">$I$14-epsilon</f>
        <v>138</v>
      </c>
      <c r="N139" s="28">
        <f t="shared" ref="N139:N202" ca="1" si="22">$I$14+epsilon</f>
        <v>158</v>
      </c>
      <c r="O139" s="42">
        <f t="shared" ca="1" si="16"/>
        <v>1</v>
      </c>
    </row>
    <row r="140" spans="2:15" x14ac:dyDescent="0.25">
      <c r="B140" s="22" t="s">
        <v>292</v>
      </c>
      <c r="C140" s="19">
        <f t="shared" ref="C140:C203" ca="1" si="23">NORMSINV(RAND())</f>
        <v>-0.51741437376503074</v>
      </c>
      <c r="D140" s="19">
        <f t="shared" ref="D140:D203" ca="1" si="24">SQRT(rho)*$C$11+SQRT(1-rho)*C140</f>
        <v>-0.51741437376503074</v>
      </c>
      <c r="E140" s="26" t="s">
        <v>589</v>
      </c>
      <c r="F140" s="11">
        <f t="shared" ref="F140:F203" ca="1" si="25">IF(D140&lt;NORMSINV(p),1,0)</f>
        <v>1</v>
      </c>
      <c r="K140" s="15" t="s">
        <v>889</v>
      </c>
      <c r="L140" s="16">
        <v>147</v>
      </c>
      <c r="M140" s="28">
        <f t="shared" ca="1" si="21"/>
        <v>138</v>
      </c>
      <c r="N140" s="28">
        <f t="shared" ca="1" si="22"/>
        <v>158</v>
      </c>
      <c r="O140" s="42">
        <f t="shared" ca="1" si="16"/>
        <v>1</v>
      </c>
    </row>
    <row r="141" spans="2:15" x14ac:dyDescent="0.25">
      <c r="B141" s="22" t="s">
        <v>293</v>
      </c>
      <c r="C141" s="19">
        <f t="shared" ca="1" si="23"/>
        <v>-1.4827118728089346</v>
      </c>
      <c r="D141" s="19">
        <f t="shared" ca="1" si="24"/>
        <v>-1.4827118728089346</v>
      </c>
      <c r="E141" s="26" t="s">
        <v>590</v>
      </c>
      <c r="F141" s="11">
        <f t="shared" ca="1" si="25"/>
        <v>1</v>
      </c>
      <c r="K141" s="15" t="s">
        <v>890</v>
      </c>
      <c r="L141" s="16">
        <v>153</v>
      </c>
      <c r="M141" s="28">
        <f t="shared" ca="1" si="21"/>
        <v>138</v>
      </c>
      <c r="N141" s="28">
        <f t="shared" ca="1" si="22"/>
        <v>158</v>
      </c>
      <c r="O141" s="42">
        <f t="shared" ref="O141:O204" ca="1" si="26">IF(AND(L141&gt;=M141,L141&lt;=N141),1,0)</f>
        <v>1</v>
      </c>
    </row>
    <row r="142" spans="2:15" x14ac:dyDescent="0.25">
      <c r="B142" s="22" t="s">
        <v>294</v>
      </c>
      <c r="C142" s="19">
        <f t="shared" ca="1" si="23"/>
        <v>0.77388734889345145</v>
      </c>
      <c r="D142" s="19">
        <f t="shared" ca="1" si="24"/>
        <v>0.77388734889345145</v>
      </c>
      <c r="E142" s="26" t="s">
        <v>591</v>
      </c>
      <c r="F142" s="11">
        <f t="shared" ca="1" si="25"/>
        <v>0</v>
      </c>
      <c r="K142" s="15" t="s">
        <v>891</v>
      </c>
      <c r="L142" s="16">
        <v>141</v>
      </c>
      <c r="M142" s="28">
        <f t="shared" ca="1" si="21"/>
        <v>138</v>
      </c>
      <c r="N142" s="28">
        <f t="shared" ca="1" si="22"/>
        <v>158</v>
      </c>
      <c r="O142" s="42">
        <f t="shared" ca="1" si="26"/>
        <v>1</v>
      </c>
    </row>
    <row r="143" spans="2:15" x14ac:dyDescent="0.25">
      <c r="B143" s="22" t="s">
        <v>295</v>
      </c>
      <c r="C143" s="19">
        <f t="shared" ca="1" si="23"/>
        <v>-1.1558352742028868</v>
      </c>
      <c r="D143" s="19">
        <f t="shared" ca="1" si="24"/>
        <v>-1.1558352742028868</v>
      </c>
      <c r="E143" s="26" t="s">
        <v>592</v>
      </c>
      <c r="F143" s="11">
        <f t="shared" ca="1" si="25"/>
        <v>1</v>
      </c>
      <c r="K143" s="15" t="s">
        <v>892</v>
      </c>
      <c r="L143" s="16">
        <v>136</v>
      </c>
      <c r="M143" s="28">
        <f t="shared" ca="1" si="21"/>
        <v>138</v>
      </c>
      <c r="N143" s="28">
        <f t="shared" ca="1" si="22"/>
        <v>158</v>
      </c>
      <c r="O143" s="42">
        <f t="shared" ca="1" si="26"/>
        <v>0</v>
      </c>
    </row>
    <row r="144" spans="2:15" x14ac:dyDescent="0.25">
      <c r="B144" s="22" t="s">
        <v>296</v>
      </c>
      <c r="C144" s="19">
        <f t="shared" ca="1" si="23"/>
        <v>-1.4208581587387876</v>
      </c>
      <c r="D144" s="19">
        <f t="shared" ca="1" si="24"/>
        <v>-1.4208581587387876</v>
      </c>
      <c r="E144" s="26" t="s">
        <v>593</v>
      </c>
      <c r="F144" s="11">
        <f t="shared" ca="1" si="25"/>
        <v>1</v>
      </c>
      <c r="K144" s="15" t="s">
        <v>893</v>
      </c>
      <c r="L144" s="16">
        <v>151</v>
      </c>
      <c r="M144" s="28">
        <f t="shared" ca="1" si="21"/>
        <v>138</v>
      </c>
      <c r="N144" s="28">
        <f t="shared" ca="1" si="22"/>
        <v>158</v>
      </c>
      <c r="O144" s="42">
        <f t="shared" ca="1" si="26"/>
        <v>1</v>
      </c>
    </row>
    <row r="145" spans="2:15" x14ac:dyDescent="0.25">
      <c r="B145" s="22" t="s">
        <v>297</v>
      </c>
      <c r="C145" s="19">
        <f t="shared" ca="1" si="23"/>
        <v>0.5393340435437215</v>
      </c>
      <c r="D145" s="19">
        <f t="shared" ca="1" si="24"/>
        <v>0.5393340435437215</v>
      </c>
      <c r="E145" s="26" t="s">
        <v>594</v>
      </c>
      <c r="F145" s="11">
        <f t="shared" ca="1" si="25"/>
        <v>0</v>
      </c>
      <c r="K145" s="15" t="s">
        <v>894</v>
      </c>
      <c r="L145" s="16">
        <v>155</v>
      </c>
      <c r="M145" s="28">
        <f t="shared" ca="1" si="21"/>
        <v>138</v>
      </c>
      <c r="N145" s="28">
        <f t="shared" ca="1" si="22"/>
        <v>158</v>
      </c>
      <c r="O145" s="42">
        <f t="shared" ca="1" si="26"/>
        <v>1</v>
      </c>
    </row>
    <row r="146" spans="2:15" x14ac:dyDescent="0.25">
      <c r="B146" s="22" t="s">
        <v>298</v>
      </c>
      <c r="C146" s="19">
        <f t="shared" ca="1" si="23"/>
        <v>1.0631221778285476</v>
      </c>
      <c r="D146" s="19">
        <f t="shared" ca="1" si="24"/>
        <v>1.0631221778285476</v>
      </c>
      <c r="E146" s="26" t="s">
        <v>595</v>
      </c>
      <c r="F146" s="11">
        <f t="shared" ca="1" si="25"/>
        <v>0</v>
      </c>
      <c r="K146" s="15" t="s">
        <v>895</v>
      </c>
      <c r="L146" s="16">
        <v>139</v>
      </c>
      <c r="M146" s="28">
        <f t="shared" ca="1" si="21"/>
        <v>138</v>
      </c>
      <c r="N146" s="28">
        <f t="shared" ca="1" si="22"/>
        <v>158</v>
      </c>
      <c r="O146" s="42">
        <f t="shared" ca="1" si="26"/>
        <v>1</v>
      </c>
    </row>
    <row r="147" spans="2:15" x14ac:dyDescent="0.25">
      <c r="B147" s="22" t="s">
        <v>299</v>
      </c>
      <c r="C147" s="19">
        <f t="shared" ca="1" si="23"/>
        <v>2.3416244554205597E-2</v>
      </c>
      <c r="D147" s="19">
        <f t="shared" ca="1" si="24"/>
        <v>2.3416244554205597E-2</v>
      </c>
      <c r="E147" s="26" t="s">
        <v>596</v>
      </c>
      <c r="F147" s="11">
        <f t="shared" ca="1" si="25"/>
        <v>0</v>
      </c>
      <c r="K147" s="15" t="s">
        <v>896</v>
      </c>
      <c r="L147" s="16">
        <v>146</v>
      </c>
      <c r="M147" s="28">
        <f t="shared" ca="1" si="21"/>
        <v>138</v>
      </c>
      <c r="N147" s="28">
        <f t="shared" ca="1" si="22"/>
        <v>158</v>
      </c>
      <c r="O147" s="42">
        <f t="shared" ca="1" si="26"/>
        <v>1</v>
      </c>
    </row>
    <row r="148" spans="2:15" x14ac:dyDescent="0.25">
      <c r="B148" s="22" t="s">
        <v>300</v>
      </c>
      <c r="C148" s="19">
        <f t="shared" ca="1" si="23"/>
        <v>0.59202877978771462</v>
      </c>
      <c r="D148" s="19">
        <f t="shared" ca="1" si="24"/>
        <v>0.59202877978771462</v>
      </c>
      <c r="E148" s="26" t="s">
        <v>597</v>
      </c>
      <c r="F148" s="11">
        <f t="shared" ca="1" si="25"/>
        <v>0</v>
      </c>
      <c r="K148" s="15" t="s">
        <v>897</v>
      </c>
      <c r="L148" s="16">
        <v>142</v>
      </c>
      <c r="M148" s="28">
        <f t="shared" ca="1" si="21"/>
        <v>138</v>
      </c>
      <c r="N148" s="28">
        <f t="shared" ca="1" si="22"/>
        <v>158</v>
      </c>
      <c r="O148" s="42">
        <f t="shared" ca="1" si="26"/>
        <v>1</v>
      </c>
    </row>
    <row r="149" spans="2:15" x14ac:dyDescent="0.25">
      <c r="B149" s="22" t="s">
        <v>301</v>
      </c>
      <c r="C149" s="19">
        <f t="shared" ca="1" si="23"/>
        <v>0.14556812325535889</v>
      </c>
      <c r="D149" s="19">
        <f t="shared" ca="1" si="24"/>
        <v>0.14556812325535889</v>
      </c>
      <c r="E149" s="26" t="s">
        <v>598</v>
      </c>
      <c r="F149" s="11">
        <f t="shared" ca="1" si="25"/>
        <v>0</v>
      </c>
      <c r="K149" s="15" t="s">
        <v>898</v>
      </c>
      <c r="L149" s="16">
        <v>156</v>
      </c>
      <c r="M149" s="28">
        <f t="shared" ca="1" si="21"/>
        <v>138</v>
      </c>
      <c r="N149" s="28">
        <f t="shared" ca="1" si="22"/>
        <v>158</v>
      </c>
      <c r="O149" s="42">
        <f t="shared" ca="1" si="26"/>
        <v>1</v>
      </c>
    </row>
    <row r="150" spans="2:15" x14ac:dyDescent="0.25">
      <c r="B150" s="22" t="s">
        <v>302</v>
      </c>
      <c r="C150" s="19">
        <f t="shared" ca="1" si="23"/>
        <v>-0.19504087387195018</v>
      </c>
      <c r="D150" s="19">
        <f t="shared" ca="1" si="24"/>
        <v>-0.19504087387195018</v>
      </c>
      <c r="E150" s="26" t="s">
        <v>599</v>
      </c>
      <c r="F150" s="11">
        <f t="shared" ca="1" si="25"/>
        <v>1</v>
      </c>
      <c r="K150" s="15" t="s">
        <v>899</v>
      </c>
      <c r="L150" s="16">
        <v>147</v>
      </c>
      <c r="M150" s="28">
        <f t="shared" ca="1" si="21"/>
        <v>138</v>
      </c>
      <c r="N150" s="28">
        <f t="shared" ca="1" si="22"/>
        <v>158</v>
      </c>
      <c r="O150" s="42">
        <f t="shared" ca="1" si="26"/>
        <v>1</v>
      </c>
    </row>
    <row r="151" spans="2:15" x14ac:dyDescent="0.25">
      <c r="B151" s="22" t="s">
        <v>303</v>
      </c>
      <c r="C151" s="19">
        <f t="shared" ca="1" si="23"/>
        <v>0.61533839427414982</v>
      </c>
      <c r="D151" s="19">
        <f t="shared" ca="1" si="24"/>
        <v>0.61533839427414982</v>
      </c>
      <c r="E151" s="26" t="s">
        <v>600</v>
      </c>
      <c r="F151" s="11">
        <f t="shared" ca="1" si="25"/>
        <v>0</v>
      </c>
      <c r="K151" s="15" t="s">
        <v>900</v>
      </c>
      <c r="L151" s="16">
        <v>159</v>
      </c>
      <c r="M151" s="28">
        <f t="shared" ca="1" si="21"/>
        <v>138</v>
      </c>
      <c r="N151" s="28">
        <f t="shared" ca="1" si="22"/>
        <v>158</v>
      </c>
      <c r="O151" s="42">
        <f t="shared" ca="1" si="26"/>
        <v>0</v>
      </c>
    </row>
    <row r="152" spans="2:15" x14ac:dyDescent="0.25">
      <c r="B152" s="22" t="s">
        <v>304</v>
      </c>
      <c r="C152" s="19">
        <f t="shared" ca="1" si="23"/>
        <v>1.0367278019070001</v>
      </c>
      <c r="D152" s="19">
        <f t="shared" ca="1" si="24"/>
        <v>1.0367278019070001</v>
      </c>
      <c r="E152" s="26" t="s">
        <v>601</v>
      </c>
      <c r="F152" s="11">
        <f t="shared" ca="1" si="25"/>
        <v>0</v>
      </c>
      <c r="K152" s="15" t="s">
        <v>901</v>
      </c>
      <c r="L152" s="16">
        <v>151</v>
      </c>
      <c r="M152" s="28">
        <f t="shared" ca="1" si="21"/>
        <v>138</v>
      </c>
      <c r="N152" s="28">
        <f t="shared" ca="1" si="22"/>
        <v>158</v>
      </c>
      <c r="O152" s="42">
        <f t="shared" ca="1" si="26"/>
        <v>1</v>
      </c>
    </row>
    <row r="153" spans="2:15" x14ac:dyDescent="0.25">
      <c r="B153" s="22" t="s">
        <v>305</v>
      </c>
      <c r="C153" s="19">
        <f t="shared" ca="1" si="23"/>
        <v>-1.7857660894926692</v>
      </c>
      <c r="D153" s="19">
        <f t="shared" ca="1" si="24"/>
        <v>-1.7857660894926692</v>
      </c>
      <c r="E153" s="26" t="s">
        <v>602</v>
      </c>
      <c r="F153" s="11">
        <f t="shared" ca="1" si="25"/>
        <v>1</v>
      </c>
      <c r="K153" s="15" t="s">
        <v>902</v>
      </c>
      <c r="L153" s="16">
        <v>147</v>
      </c>
      <c r="M153" s="28">
        <f t="shared" ca="1" si="21"/>
        <v>138</v>
      </c>
      <c r="N153" s="28">
        <f t="shared" ca="1" si="22"/>
        <v>158</v>
      </c>
      <c r="O153" s="42">
        <f t="shared" ca="1" si="26"/>
        <v>1</v>
      </c>
    </row>
    <row r="154" spans="2:15" x14ac:dyDescent="0.25">
      <c r="B154" s="22" t="s">
        <v>306</v>
      </c>
      <c r="C154" s="19">
        <f t="shared" ca="1" si="23"/>
        <v>-0.29535024722299658</v>
      </c>
      <c r="D154" s="19">
        <f t="shared" ca="1" si="24"/>
        <v>-0.29535024722299658</v>
      </c>
      <c r="E154" s="26" t="s">
        <v>603</v>
      </c>
      <c r="F154" s="11">
        <f t="shared" ca="1" si="25"/>
        <v>1</v>
      </c>
      <c r="K154" s="15" t="s">
        <v>903</v>
      </c>
      <c r="L154" s="16">
        <v>157</v>
      </c>
      <c r="M154" s="28">
        <f t="shared" ca="1" si="21"/>
        <v>138</v>
      </c>
      <c r="N154" s="28">
        <f t="shared" ca="1" si="22"/>
        <v>158</v>
      </c>
      <c r="O154" s="42">
        <f t="shared" ca="1" si="26"/>
        <v>1</v>
      </c>
    </row>
    <row r="155" spans="2:15" x14ac:dyDescent="0.25">
      <c r="B155" s="22" t="s">
        <v>307</v>
      </c>
      <c r="C155" s="19">
        <f t="shared" ca="1" si="23"/>
        <v>2.4988618851190854</v>
      </c>
      <c r="D155" s="19">
        <f t="shared" ca="1" si="24"/>
        <v>2.4988618851190854</v>
      </c>
      <c r="E155" s="26" t="s">
        <v>604</v>
      </c>
      <c r="F155" s="11">
        <f t="shared" ca="1" si="25"/>
        <v>0</v>
      </c>
      <c r="K155" s="15" t="s">
        <v>904</v>
      </c>
      <c r="L155" s="16">
        <v>164</v>
      </c>
      <c r="M155" s="28">
        <f t="shared" ca="1" si="21"/>
        <v>138</v>
      </c>
      <c r="N155" s="28">
        <f t="shared" ca="1" si="22"/>
        <v>158</v>
      </c>
      <c r="O155" s="42">
        <f t="shared" ca="1" si="26"/>
        <v>0</v>
      </c>
    </row>
    <row r="156" spans="2:15" x14ac:dyDescent="0.25">
      <c r="B156" s="22" t="s">
        <v>308</v>
      </c>
      <c r="C156" s="19">
        <f t="shared" ca="1" si="23"/>
        <v>8.8582438226571733E-2</v>
      </c>
      <c r="D156" s="19">
        <f t="shared" ca="1" si="24"/>
        <v>8.8582438226571733E-2</v>
      </c>
      <c r="E156" s="26" t="s">
        <v>605</v>
      </c>
      <c r="F156" s="11">
        <f t="shared" ca="1" si="25"/>
        <v>0</v>
      </c>
      <c r="K156" s="15" t="s">
        <v>905</v>
      </c>
      <c r="L156" s="16">
        <v>149</v>
      </c>
      <c r="M156" s="28">
        <f t="shared" ca="1" si="21"/>
        <v>138</v>
      </c>
      <c r="N156" s="28">
        <f t="shared" ca="1" si="22"/>
        <v>158</v>
      </c>
      <c r="O156" s="42">
        <f t="shared" ca="1" si="26"/>
        <v>1</v>
      </c>
    </row>
    <row r="157" spans="2:15" x14ac:dyDescent="0.25">
      <c r="B157" s="22" t="s">
        <v>309</v>
      </c>
      <c r="C157" s="19">
        <f t="shared" ca="1" si="23"/>
        <v>-5.9681835242357045E-3</v>
      </c>
      <c r="D157" s="19">
        <f t="shared" ca="1" si="24"/>
        <v>-5.9681835242357045E-3</v>
      </c>
      <c r="E157" s="26" t="s">
        <v>606</v>
      </c>
      <c r="F157" s="11">
        <f t="shared" ca="1" si="25"/>
        <v>1</v>
      </c>
      <c r="K157" s="15" t="s">
        <v>906</v>
      </c>
      <c r="L157" s="16">
        <v>153</v>
      </c>
      <c r="M157" s="28">
        <f t="shared" ca="1" si="21"/>
        <v>138</v>
      </c>
      <c r="N157" s="28">
        <f t="shared" ca="1" si="22"/>
        <v>158</v>
      </c>
      <c r="O157" s="42">
        <f t="shared" ca="1" si="26"/>
        <v>1</v>
      </c>
    </row>
    <row r="158" spans="2:15" x14ac:dyDescent="0.25">
      <c r="B158" s="22" t="s">
        <v>310</v>
      </c>
      <c r="C158" s="19">
        <f t="shared" ca="1" si="23"/>
        <v>-0.23217234943167384</v>
      </c>
      <c r="D158" s="19">
        <f t="shared" ca="1" si="24"/>
        <v>-0.23217234943167384</v>
      </c>
      <c r="E158" s="26" t="s">
        <v>607</v>
      </c>
      <c r="F158" s="11">
        <f t="shared" ca="1" si="25"/>
        <v>1</v>
      </c>
      <c r="K158" s="15" t="s">
        <v>907</v>
      </c>
      <c r="L158" s="16">
        <v>150</v>
      </c>
      <c r="M158" s="28">
        <f t="shared" ca="1" si="21"/>
        <v>138</v>
      </c>
      <c r="N158" s="28">
        <f t="shared" ca="1" si="22"/>
        <v>158</v>
      </c>
      <c r="O158" s="42">
        <f t="shared" ca="1" si="26"/>
        <v>1</v>
      </c>
    </row>
    <row r="159" spans="2:15" x14ac:dyDescent="0.25">
      <c r="B159" s="22" t="s">
        <v>311</v>
      </c>
      <c r="C159" s="19">
        <f t="shared" ca="1" si="23"/>
        <v>-0.61325463223886945</v>
      </c>
      <c r="D159" s="19">
        <f t="shared" ca="1" si="24"/>
        <v>-0.61325463223886945</v>
      </c>
      <c r="E159" s="26" t="s">
        <v>608</v>
      </c>
      <c r="F159" s="11">
        <f t="shared" ca="1" si="25"/>
        <v>1</v>
      </c>
      <c r="K159" s="15" t="s">
        <v>908</v>
      </c>
      <c r="L159" s="16">
        <v>166</v>
      </c>
      <c r="M159" s="28">
        <f t="shared" ca="1" si="21"/>
        <v>138</v>
      </c>
      <c r="N159" s="28">
        <f t="shared" ca="1" si="22"/>
        <v>158</v>
      </c>
      <c r="O159" s="42">
        <f t="shared" ca="1" si="26"/>
        <v>0</v>
      </c>
    </row>
    <row r="160" spans="2:15" x14ac:dyDescent="0.25">
      <c r="B160" s="22" t="s">
        <v>312</v>
      </c>
      <c r="C160" s="19">
        <f t="shared" ca="1" si="23"/>
        <v>1.3748320434273347</v>
      </c>
      <c r="D160" s="19">
        <f t="shared" ca="1" si="24"/>
        <v>1.3748320434273347</v>
      </c>
      <c r="E160" s="26" t="s">
        <v>609</v>
      </c>
      <c r="F160" s="11">
        <f t="shared" ca="1" si="25"/>
        <v>0</v>
      </c>
      <c r="K160" s="15" t="s">
        <v>909</v>
      </c>
      <c r="L160" s="16">
        <v>155</v>
      </c>
      <c r="M160" s="28">
        <f t="shared" ca="1" si="21"/>
        <v>138</v>
      </c>
      <c r="N160" s="28">
        <f t="shared" ca="1" si="22"/>
        <v>158</v>
      </c>
      <c r="O160" s="42">
        <f t="shared" ca="1" si="26"/>
        <v>1</v>
      </c>
    </row>
    <row r="161" spans="2:15" x14ac:dyDescent="0.25">
      <c r="B161" s="22" t="s">
        <v>313</v>
      </c>
      <c r="C161" s="19">
        <f t="shared" ca="1" si="23"/>
        <v>-1.3860615375001555</v>
      </c>
      <c r="D161" s="19">
        <f t="shared" ca="1" si="24"/>
        <v>-1.3860615375001555</v>
      </c>
      <c r="E161" s="26" t="s">
        <v>610</v>
      </c>
      <c r="F161" s="11">
        <f t="shared" ca="1" si="25"/>
        <v>1</v>
      </c>
      <c r="K161" s="15" t="s">
        <v>910</v>
      </c>
      <c r="L161" s="16">
        <v>134</v>
      </c>
      <c r="M161" s="28">
        <f t="shared" ca="1" si="21"/>
        <v>138</v>
      </c>
      <c r="N161" s="28">
        <f t="shared" ca="1" si="22"/>
        <v>158</v>
      </c>
      <c r="O161" s="42">
        <f t="shared" ca="1" si="26"/>
        <v>0</v>
      </c>
    </row>
    <row r="162" spans="2:15" x14ac:dyDescent="0.25">
      <c r="B162" s="22" t="s">
        <v>314</v>
      </c>
      <c r="C162" s="19">
        <f t="shared" ca="1" si="23"/>
        <v>-1.2855914234082719</v>
      </c>
      <c r="D162" s="19">
        <f t="shared" ca="1" si="24"/>
        <v>-1.2855914234082719</v>
      </c>
      <c r="E162" s="26" t="s">
        <v>611</v>
      </c>
      <c r="F162" s="11">
        <f t="shared" ca="1" si="25"/>
        <v>1</v>
      </c>
      <c r="K162" s="15" t="s">
        <v>911</v>
      </c>
      <c r="L162" s="16">
        <v>145</v>
      </c>
      <c r="M162" s="28">
        <f t="shared" ca="1" si="21"/>
        <v>138</v>
      </c>
      <c r="N162" s="28">
        <f t="shared" ca="1" si="22"/>
        <v>158</v>
      </c>
      <c r="O162" s="42">
        <f t="shared" ca="1" si="26"/>
        <v>1</v>
      </c>
    </row>
    <row r="163" spans="2:15" x14ac:dyDescent="0.25">
      <c r="B163" s="22" t="s">
        <v>315</v>
      </c>
      <c r="C163" s="19">
        <f t="shared" ca="1" si="23"/>
        <v>0.26169184915995719</v>
      </c>
      <c r="D163" s="19">
        <f t="shared" ca="1" si="24"/>
        <v>0.26169184915995719</v>
      </c>
      <c r="E163" s="26" t="s">
        <v>612</v>
      </c>
      <c r="F163" s="11">
        <f t="shared" ca="1" si="25"/>
        <v>0</v>
      </c>
      <c r="K163" s="15" t="s">
        <v>912</v>
      </c>
      <c r="L163" s="16">
        <v>139</v>
      </c>
      <c r="M163" s="28">
        <f t="shared" ca="1" si="21"/>
        <v>138</v>
      </c>
      <c r="N163" s="28">
        <f t="shared" ca="1" si="22"/>
        <v>158</v>
      </c>
      <c r="O163" s="42">
        <f t="shared" ca="1" si="26"/>
        <v>1</v>
      </c>
    </row>
    <row r="164" spans="2:15" x14ac:dyDescent="0.25">
      <c r="B164" s="22" t="s">
        <v>316</v>
      </c>
      <c r="C164" s="19">
        <f t="shared" ca="1" si="23"/>
        <v>0.49938722352075693</v>
      </c>
      <c r="D164" s="19">
        <f t="shared" ca="1" si="24"/>
        <v>0.49938722352075693</v>
      </c>
      <c r="E164" s="26" t="s">
        <v>613</v>
      </c>
      <c r="F164" s="11">
        <f t="shared" ca="1" si="25"/>
        <v>0</v>
      </c>
      <c r="K164" s="15" t="s">
        <v>913</v>
      </c>
      <c r="L164" s="16">
        <v>155</v>
      </c>
      <c r="M164" s="28">
        <f t="shared" ca="1" si="21"/>
        <v>138</v>
      </c>
      <c r="N164" s="28">
        <f t="shared" ca="1" si="22"/>
        <v>158</v>
      </c>
      <c r="O164" s="42">
        <f t="shared" ca="1" si="26"/>
        <v>1</v>
      </c>
    </row>
    <row r="165" spans="2:15" x14ac:dyDescent="0.25">
      <c r="B165" s="22" t="s">
        <v>317</v>
      </c>
      <c r="C165" s="19">
        <f t="shared" ca="1" si="23"/>
        <v>-0.96276696014795304</v>
      </c>
      <c r="D165" s="19">
        <f t="shared" ca="1" si="24"/>
        <v>-0.96276696014795304</v>
      </c>
      <c r="E165" s="26" t="s">
        <v>614</v>
      </c>
      <c r="F165" s="11">
        <f t="shared" ca="1" si="25"/>
        <v>1</v>
      </c>
      <c r="K165" s="15" t="s">
        <v>914</v>
      </c>
      <c r="L165" s="16">
        <v>154</v>
      </c>
      <c r="M165" s="28">
        <f t="shared" ca="1" si="21"/>
        <v>138</v>
      </c>
      <c r="N165" s="28">
        <f t="shared" ca="1" si="22"/>
        <v>158</v>
      </c>
      <c r="O165" s="42">
        <f t="shared" ca="1" si="26"/>
        <v>1</v>
      </c>
    </row>
    <row r="166" spans="2:15" x14ac:dyDescent="0.25">
      <c r="B166" s="22" t="s">
        <v>318</v>
      </c>
      <c r="C166" s="19">
        <f t="shared" ca="1" si="23"/>
        <v>-0.15830441541398771</v>
      </c>
      <c r="D166" s="19">
        <f t="shared" ca="1" si="24"/>
        <v>-0.15830441541398771</v>
      </c>
      <c r="E166" s="26" t="s">
        <v>615</v>
      </c>
      <c r="F166" s="11">
        <f t="shared" ca="1" si="25"/>
        <v>1</v>
      </c>
      <c r="K166" s="15" t="s">
        <v>915</v>
      </c>
      <c r="L166" s="16">
        <v>141</v>
      </c>
      <c r="M166" s="28">
        <f t="shared" ca="1" si="21"/>
        <v>138</v>
      </c>
      <c r="N166" s="28">
        <f t="shared" ca="1" si="22"/>
        <v>158</v>
      </c>
      <c r="O166" s="42">
        <f t="shared" ca="1" si="26"/>
        <v>1</v>
      </c>
    </row>
    <row r="167" spans="2:15" x14ac:dyDescent="0.25">
      <c r="B167" s="22" t="s">
        <v>319</v>
      </c>
      <c r="C167" s="19">
        <f t="shared" ca="1" si="23"/>
        <v>-1.7155155542353784</v>
      </c>
      <c r="D167" s="19">
        <f t="shared" ca="1" si="24"/>
        <v>-1.7155155542353784</v>
      </c>
      <c r="E167" s="26" t="s">
        <v>616</v>
      </c>
      <c r="F167" s="11">
        <f t="shared" ca="1" si="25"/>
        <v>1</v>
      </c>
      <c r="K167" s="15" t="s">
        <v>916</v>
      </c>
      <c r="L167" s="16">
        <v>152</v>
      </c>
      <c r="M167" s="28">
        <f t="shared" ca="1" si="21"/>
        <v>138</v>
      </c>
      <c r="N167" s="28">
        <f t="shared" ca="1" si="22"/>
        <v>158</v>
      </c>
      <c r="O167" s="42">
        <f t="shared" ca="1" si="26"/>
        <v>1</v>
      </c>
    </row>
    <row r="168" spans="2:15" x14ac:dyDescent="0.25">
      <c r="B168" s="22" t="s">
        <v>320</v>
      </c>
      <c r="C168" s="19">
        <f t="shared" ca="1" si="23"/>
        <v>-9.8699728207810353E-2</v>
      </c>
      <c r="D168" s="19">
        <f t="shared" ca="1" si="24"/>
        <v>-9.8699728207810353E-2</v>
      </c>
      <c r="E168" s="26" t="s">
        <v>617</v>
      </c>
      <c r="F168" s="11">
        <f t="shared" ca="1" si="25"/>
        <v>1</v>
      </c>
      <c r="K168" s="15" t="s">
        <v>917</v>
      </c>
      <c r="L168" s="16">
        <v>152</v>
      </c>
      <c r="M168" s="28">
        <f t="shared" ca="1" si="21"/>
        <v>138</v>
      </c>
      <c r="N168" s="28">
        <f t="shared" ca="1" si="22"/>
        <v>158</v>
      </c>
      <c r="O168" s="42">
        <f t="shared" ca="1" si="26"/>
        <v>1</v>
      </c>
    </row>
    <row r="169" spans="2:15" x14ac:dyDescent="0.25">
      <c r="B169" s="22" t="s">
        <v>321</v>
      </c>
      <c r="C169" s="19">
        <f t="shared" ca="1" si="23"/>
        <v>-2.0118361718460673</v>
      </c>
      <c r="D169" s="19">
        <f t="shared" ca="1" si="24"/>
        <v>-2.0118361718460673</v>
      </c>
      <c r="E169" s="26" t="s">
        <v>618</v>
      </c>
      <c r="F169" s="11">
        <f t="shared" ca="1" si="25"/>
        <v>1</v>
      </c>
      <c r="K169" s="15" t="s">
        <v>918</v>
      </c>
      <c r="L169" s="16">
        <v>145</v>
      </c>
      <c r="M169" s="28">
        <f t="shared" ca="1" si="21"/>
        <v>138</v>
      </c>
      <c r="N169" s="28">
        <f t="shared" ca="1" si="22"/>
        <v>158</v>
      </c>
      <c r="O169" s="42">
        <f t="shared" ca="1" si="26"/>
        <v>1</v>
      </c>
    </row>
    <row r="170" spans="2:15" x14ac:dyDescent="0.25">
      <c r="B170" s="22" t="s">
        <v>322</v>
      </c>
      <c r="C170" s="19">
        <f t="shared" ca="1" si="23"/>
        <v>1.4330302204440719</v>
      </c>
      <c r="D170" s="19">
        <f t="shared" ca="1" si="24"/>
        <v>1.4330302204440719</v>
      </c>
      <c r="E170" s="26" t="s">
        <v>619</v>
      </c>
      <c r="F170" s="11">
        <f t="shared" ca="1" si="25"/>
        <v>0</v>
      </c>
      <c r="K170" s="15" t="s">
        <v>919</v>
      </c>
      <c r="L170" s="16">
        <v>159</v>
      </c>
      <c r="M170" s="28">
        <f t="shared" ca="1" si="21"/>
        <v>138</v>
      </c>
      <c r="N170" s="28">
        <f t="shared" ca="1" si="22"/>
        <v>158</v>
      </c>
      <c r="O170" s="42">
        <f t="shared" ca="1" si="26"/>
        <v>0</v>
      </c>
    </row>
    <row r="171" spans="2:15" x14ac:dyDescent="0.25">
      <c r="B171" s="22" t="s">
        <v>323</v>
      </c>
      <c r="C171" s="19">
        <f t="shared" ca="1" si="23"/>
        <v>-0.27466502209660365</v>
      </c>
      <c r="D171" s="19">
        <f t="shared" ca="1" si="24"/>
        <v>-0.27466502209660365</v>
      </c>
      <c r="E171" s="26" t="s">
        <v>620</v>
      </c>
      <c r="F171" s="11">
        <f t="shared" ca="1" si="25"/>
        <v>1</v>
      </c>
      <c r="K171" s="15" t="s">
        <v>920</v>
      </c>
      <c r="L171" s="16">
        <v>144</v>
      </c>
      <c r="M171" s="28">
        <f t="shared" ca="1" si="21"/>
        <v>138</v>
      </c>
      <c r="N171" s="28">
        <f t="shared" ca="1" si="22"/>
        <v>158</v>
      </c>
      <c r="O171" s="42">
        <f t="shared" ca="1" si="26"/>
        <v>1</v>
      </c>
    </row>
    <row r="172" spans="2:15" x14ac:dyDescent="0.25">
      <c r="B172" s="22" t="s">
        <v>324</v>
      </c>
      <c r="C172" s="19">
        <f t="shared" ca="1" si="23"/>
        <v>1.0830077717521573</v>
      </c>
      <c r="D172" s="19">
        <f t="shared" ca="1" si="24"/>
        <v>1.0830077717521573</v>
      </c>
      <c r="E172" s="26" t="s">
        <v>621</v>
      </c>
      <c r="F172" s="11">
        <f t="shared" ca="1" si="25"/>
        <v>0</v>
      </c>
      <c r="K172" s="15" t="s">
        <v>921</v>
      </c>
      <c r="L172" s="16">
        <v>143</v>
      </c>
      <c r="M172" s="28">
        <f t="shared" ca="1" si="21"/>
        <v>138</v>
      </c>
      <c r="N172" s="28">
        <f t="shared" ca="1" si="22"/>
        <v>158</v>
      </c>
      <c r="O172" s="42">
        <f t="shared" ca="1" si="26"/>
        <v>1</v>
      </c>
    </row>
    <row r="173" spans="2:15" x14ac:dyDescent="0.25">
      <c r="B173" s="22" t="s">
        <v>325</v>
      </c>
      <c r="C173" s="19">
        <f t="shared" ca="1" si="23"/>
        <v>0.40087886121801597</v>
      </c>
      <c r="D173" s="19">
        <f t="shared" ca="1" si="24"/>
        <v>0.40087886121801597</v>
      </c>
      <c r="E173" s="26" t="s">
        <v>622</v>
      </c>
      <c r="F173" s="11">
        <f t="shared" ca="1" si="25"/>
        <v>0</v>
      </c>
      <c r="K173" s="15" t="s">
        <v>922</v>
      </c>
      <c r="L173" s="16">
        <v>157</v>
      </c>
      <c r="M173" s="28">
        <f t="shared" ca="1" si="21"/>
        <v>138</v>
      </c>
      <c r="N173" s="28">
        <f t="shared" ca="1" si="22"/>
        <v>158</v>
      </c>
      <c r="O173" s="42">
        <f t="shared" ca="1" si="26"/>
        <v>1</v>
      </c>
    </row>
    <row r="174" spans="2:15" x14ac:dyDescent="0.25">
      <c r="B174" s="22" t="s">
        <v>326</v>
      </c>
      <c r="C174" s="19">
        <f t="shared" ca="1" si="23"/>
        <v>0.94716122851239504</v>
      </c>
      <c r="D174" s="19">
        <f t="shared" ca="1" si="24"/>
        <v>0.94716122851239504</v>
      </c>
      <c r="E174" s="26" t="s">
        <v>623</v>
      </c>
      <c r="F174" s="11">
        <f t="shared" ca="1" si="25"/>
        <v>0</v>
      </c>
      <c r="K174" s="15" t="s">
        <v>923</v>
      </c>
      <c r="L174" s="16">
        <v>151</v>
      </c>
      <c r="M174" s="28">
        <f t="shared" ca="1" si="21"/>
        <v>138</v>
      </c>
      <c r="N174" s="28">
        <f t="shared" ca="1" si="22"/>
        <v>158</v>
      </c>
      <c r="O174" s="42">
        <f t="shared" ca="1" si="26"/>
        <v>1</v>
      </c>
    </row>
    <row r="175" spans="2:15" x14ac:dyDescent="0.25">
      <c r="B175" s="22" t="s">
        <v>327</v>
      </c>
      <c r="C175" s="19">
        <f t="shared" ca="1" si="23"/>
        <v>-1.3376597581831922</v>
      </c>
      <c r="D175" s="19">
        <f t="shared" ca="1" si="24"/>
        <v>-1.3376597581831922</v>
      </c>
      <c r="E175" s="26" t="s">
        <v>624</v>
      </c>
      <c r="F175" s="11">
        <f t="shared" ca="1" si="25"/>
        <v>1</v>
      </c>
      <c r="K175" s="15" t="s">
        <v>924</v>
      </c>
      <c r="L175" s="16">
        <v>153</v>
      </c>
      <c r="M175" s="28">
        <f t="shared" ca="1" si="21"/>
        <v>138</v>
      </c>
      <c r="N175" s="28">
        <f t="shared" ca="1" si="22"/>
        <v>158</v>
      </c>
      <c r="O175" s="42">
        <f t="shared" ca="1" si="26"/>
        <v>1</v>
      </c>
    </row>
    <row r="176" spans="2:15" x14ac:dyDescent="0.25">
      <c r="B176" s="22" t="s">
        <v>328</v>
      </c>
      <c r="C176" s="19">
        <f t="shared" ca="1" si="23"/>
        <v>0.72758873569775995</v>
      </c>
      <c r="D176" s="19">
        <f t="shared" ca="1" si="24"/>
        <v>0.72758873569775995</v>
      </c>
      <c r="E176" s="26" t="s">
        <v>625</v>
      </c>
      <c r="F176" s="11">
        <f t="shared" ca="1" si="25"/>
        <v>0</v>
      </c>
      <c r="K176" s="15" t="s">
        <v>925</v>
      </c>
      <c r="L176" s="16">
        <v>136</v>
      </c>
      <c r="M176" s="28">
        <f t="shared" ca="1" si="21"/>
        <v>138</v>
      </c>
      <c r="N176" s="28">
        <f t="shared" ca="1" si="22"/>
        <v>158</v>
      </c>
      <c r="O176" s="42">
        <f t="shared" ca="1" si="26"/>
        <v>0</v>
      </c>
    </row>
    <row r="177" spans="2:15" x14ac:dyDescent="0.25">
      <c r="B177" s="22" t="s">
        <v>329</v>
      </c>
      <c r="C177" s="19">
        <f t="shared" ca="1" si="23"/>
        <v>-2.0893559536498834</v>
      </c>
      <c r="D177" s="19">
        <f t="shared" ca="1" si="24"/>
        <v>-2.0893559536498834</v>
      </c>
      <c r="E177" s="26" t="s">
        <v>626</v>
      </c>
      <c r="F177" s="11">
        <f t="shared" ca="1" si="25"/>
        <v>1</v>
      </c>
      <c r="K177" s="15" t="s">
        <v>926</v>
      </c>
      <c r="L177" s="16">
        <v>147</v>
      </c>
      <c r="M177" s="28">
        <f t="shared" ca="1" si="21"/>
        <v>138</v>
      </c>
      <c r="N177" s="28">
        <f t="shared" ca="1" si="22"/>
        <v>158</v>
      </c>
      <c r="O177" s="42">
        <f t="shared" ca="1" si="26"/>
        <v>1</v>
      </c>
    </row>
    <row r="178" spans="2:15" x14ac:dyDescent="0.25">
      <c r="B178" s="22" t="s">
        <v>330</v>
      </c>
      <c r="C178" s="19">
        <f t="shared" ca="1" si="23"/>
        <v>-1.0458148405645458</v>
      </c>
      <c r="D178" s="19">
        <f t="shared" ca="1" si="24"/>
        <v>-1.0458148405645458</v>
      </c>
      <c r="E178" s="26" t="s">
        <v>627</v>
      </c>
      <c r="F178" s="11">
        <f t="shared" ca="1" si="25"/>
        <v>1</v>
      </c>
      <c r="K178" s="15" t="s">
        <v>927</v>
      </c>
      <c r="L178" s="16">
        <v>131</v>
      </c>
      <c r="M178" s="28">
        <f t="shared" ca="1" si="21"/>
        <v>138</v>
      </c>
      <c r="N178" s="28">
        <f t="shared" ca="1" si="22"/>
        <v>158</v>
      </c>
      <c r="O178" s="42">
        <f t="shared" ca="1" si="26"/>
        <v>0</v>
      </c>
    </row>
    <row r="179" spans="2:15" x14ac:dyDescent="0.25">
      <c r="B179" s="22" t="s">
        <v>331</v>
      </c>
      <c r="C179" s="19">
        <f t="shared" ca="1" si="23"/>
        <v>2.4305190367744038</v>
      </c>
      <c r="D179" s="19">
        <f t="shared" ca="1" si="24"/>
        <v>2.4305190367744038</v>
      </c>
      <c r="E179" s="26" t="s">
        <v>628</v>
      </c>
      <c r="F179" s="11">
        <f t="shared" ca="1" si="25"/>
        <v>0</v>
      </c>
      <c r="K179" s="15" t="s">
        <v>928</v>
      </c>
      <c r="L179" s="16">
        <v>154</v>
      </c>
      <c r="M179" s="28">
        <f t="shared" ca="1" si="21"/>
        <v>138</v>
      </c>
      <c r="N179" s="28">
        <f t="shared" ca="1" si="22"/>
        <v>158</v>
      </c>
      <c r="O179" s="42">
        <f t="shared" ca="1" si="26"/>
        <v>1</v>
      </c>
    </row>
    <row r="180" spans="2:15" x14ac:dyDescent="0.25">
      <c r="B180" s="22" t="s">
        <v>332</v>
      </c>
      <c r="C180" s="19">
        <f t="shared" ca="1" si="23"/>
        <v>0.70028163727454584</v>
      </c>
      <c r="D180" s="19">
        <f t="shared" ca="1" si="24"/>
        <v>0.70028163727454584</v>
      </c>
      <c r="E180" s="26" t="s">
        <v>629</v>
      </c>
      <c r="F180" s="11">
        <f t="shared" ca="1" si="25"/>
        <v>0</v>
      </c>
      <c r="K180" s="15" t="s">
        <v>929</v>
      </c>
      <c r="L180" s="16">
        <v>145</v>
      </c>
      <c r="M180" s="28">
        <f t="shared" ca="1" si="21"/>
        <v>138</v>
      </c>
      <c r="N180" s="28">
        <f t="shared" ca="1" si="22"/>
        <v>158</v>
      </c>
      <c r="O180" s="42">
        <f t="shared" ca="1" si="26"/>
        <v>1</v>
      </c>
    </row>
    <row r="181" spans="2:15" x14ac:dyDescent="0.25">
      <c r="B181" s="22" t="s">
        <v>333</v>
      </c>
      <c r="C181" s="19">
        <f t="shared" ca="1" si="23"/>
        <v>-1.0079148987346653</v>
      </c>
      <c r="D181" s="19">
        <f t="shared" ca="1" si="24"/>
        <v>-1.0079148987346653</v>
      </c>
      <c r="E181" s="26" t="s">
        <v>630</v>
      </c>
      <c r="F181" s="11">
        <f t="shared" ca="1" si="25"/>
        <v>1</v>
      </c>
      <c r="K181" s="15" t="s">
        <v>930</v>
      </c>
      <c r="L181" s="16">
        <v>150</v>
      </c>
      <c r="M181" s="28">
        <f t="shared" ca="1" si="21"/>
        <v>138</v>
      </c>
      <c r="N181" s="28">
        <f t="shared" ca="1" si="22"/>
        <v>158</v>
      </c>
      <c r="O181" s="42">
        <f t="shared" ca="1" si="26"/>
        <v>1</v>
      </c>
    </row>
    <row r="182" spans="2:15" x14ac:dyDescent="0.25">
      <c r="B182" s="22" t="s">
        <v>334</v>
      </c>
      <c r="C182" s="19">
        <f t="shared" ca="1" si="23"/>
        <v>0.38754263450554249</v>
      </c>
      <c r="D182" s="19">
        <f t="shared" ca="1" si="24"/>
        <v>0.38754263450554249</v>
      </c>
      <c r="E182" s="26" t="s">
        <v>631</v>
      </c>
      <c r="F182" s="11">
        <f t="shared" ca="1" si="25"/>
        <v>0</v>
      </c>
      <c r="K182" s="15" t="s">
        <v>931</v>
      </c>
      <c r="L182" s="16">
        <v>147</v>
      </c>
      <c r="M182" s="28">
        <f t="shared" ca="1" si="21"/>
        <v>138</v>
      </c>
      <c r="N182" s="28">
        <f t="shared" ca="1" si="22"/>
        <v>158</v>
      </c>
      <c r="O182" s="42">
        <f t="shared" ca="1" si="26"/>
        <v>1</v>
      </c>
    </row>
    <row r="183" spans="2:15" x14ac:dyDescent="0.25">
      <c r="B183" s="22" t="s">
        <v>335</v>
      </c>
      <c r="C183" s="19">
        <f t="shared" ca="1" si="23"/>
        <v>-1.3826040918590559</v>
      </c>
      <c r="D183" s="19">
        <f t="shared" ca="1" si="24"/>
        <v>-1.3826040918590559</v>
      </c>
      <c r="E183" s="26" t="s">
        <v>632</v>
      </c>
      <c r="F183" s="11">
        <f t="shared" ca="1" si="25"/>
        <v>1</v>
      </c>
      <c r="K183" s="15" t="s">
        <v>932</v>
      </c>
      <c r="L183" s="16">
        <v>133</v>
      </c>
      <c r="M183" s="28">
        <f t="shared" ca="1" si="21"/>
        <v>138</v>
      </c>
      <c r="N183" s="28">
        <f t="shared" ca="1" si="22"/>
        <v>158</v>
      </c>
      <c r="O183" s="42">
        <f t="shared" ca="1" si="26"/>
        <v>0</v>
      </c>
    </row>
    <row r="184" spans="2:15" x14ac:dyDescent="0.25">
      <c r="B184" s="22" t="s">
        <v>336</v>
      </c>
      <c r="C184" s="19">
        <f t="shared" ca="1" si="23"/>
        <v>0.38464368147417788</v>
      </c>
      <c r="D184" s="19">
        <f t="shared" ca="1" si="24"/>
        <v>0.38464368147417788</v>
      </c>
      <c r="E184" s="26" t="s">
        <v>633</v>
      </c>
      <c r="F184" s="11">
        <f t="shared" ca="1" si="25"/>
        <v>0</v>
      </c>
      <c r="K184" s="15" t="s">
        <v>933</v>
      </c>
      <c r="L184" s="16">
        <v>157</v>
      </c>
      <c r="M184" s="28">
        <f t="shared" ca="1" si="21"/>
        <v>138</v>
      </c>
      <c r="N184" s="28">
        <f t="shared" ca="1" si="22"/>
        <v>158</v>
      </c>
      <c r="O184" s="42">
        <f t="shared" ca="1" si="26"/>
        <v>1</v>
      </c>
    </row>
    <row r="185" spans="2:15" x14ac:dyDescent="0.25">
      <c r="B185" s="22" t="s">
        <v>337</v>
      </c>
      <c r="C185" s="19">
        <f t="shared" ca="1" si="23"/>
        <v>-1.1804416406548079</v>
      </c>
      <c r="D185" s="19">
        <f t="shared" ca="1" si="24"/>
        <v>-1.1804416406548079</v>
      </c>
      <c r="E185" s="26" t="s">
        <v>634</v>
      </c>
      <c r="F185" s="11">
        <f t="shared" ca="1" si="25"/>
        <v>1</v>
      </c>
      <c r="K185" s="15" t="s">
        <v>934</v>
      </c>
      <c r="L185" s="16">
        <v>155</v>
      </c>
      <c r="M185" s="28">
        <f t="shared" ca="1" si="21"/>
        <v>138</v>
      </c>
      <c r="N185" s="28">
        <f t="shared" ca="1" si="22"/>
        <v>158</v>
      </c>
      <c r="O185" s="42">
        <f t="shared" ca="1" si="26"/>
        <v>1</v>
      </c>
    </row>
    <row r="186" spans="2:15" x14ac:dyDescent="0.25">
      <c r="B186" s="22" t="s">
        <v>338</v>
      </c>
      <c r="C186" s="19">
        <f t="shared" ca="1" si="23"/>
        <v>0.60867474974014923</v>
      </c>
      <c r="D186" s="19">
        <f t="shared" ca="1" si="24"/>
        <v>0.60867474974014923</v>
      </c>
      <c r="E186" s="26" t="s">
        <v>635</v>
      </c>
      <c r="F186" s="11">
        <f t="shared" ca="1" si="25"/>
        <v>0</v>
      </c>
      <c r="K186" s="15" t="s">
        <v>935</v>
      </c>
      <c r="L186" s="16">
        <v>147</v>
      </c>
      <c r="M186" s="28">
        <f t="shared" ca="1" si="21"/>
        <v>138</v>
      </c>
      <c r="N186" s="28">
        <f t="shared" ca="1" si="22"/>
        <v>158</v>
      </c>
      <c r="O186" s="42">
        <f t="shared" ca="1" si="26"/>
        <v>1</v>
      </c>
    </row>
    <row r="187" spans="2:15" x14ac:dyDescent="0.25">
      <c r="B187" s="22" t="s">
        <v>339</v>
      </c>
      <c r="C187" s="19">
        <f t="shared" ca="1" si="23"/>
        <v>-0.53065641448810896</v>
      </c>
      <c r="D187" s="19">
        <f t="shared" ca="1" si="24"/>
        <v>-0.53065641448810896</v>
      </c>
      <c r="E187" s="26" t="s">
        <v>636</v>
      </c>
      <c r="F187" s="11">
        <f t="shared" ca="1" si="25"/>
        <v>1</v>
      </c>
      <c r="K187" s="15" t="s">
        <v>936</v>
      </c>
      <c r="L187" s="16">
        <v>149</v>
      </c>
      <c r="M187" s="28">
        <f t="shared" ca="1" si="21"/>
        <v>138</v>
      </c>
      <c r="N187" s="28">
        <f t="shared" ca="1" si="22"/>
        <v>158</v>
      </c>
      <c r="O187" s="42">
        <f t="shared" ca="1" si="26"/>
        <v>1</v>
      </c>
    </row>
    <row r="188" spans="2:15" x14ac:dyDescent="0.25">
      <c r="B188" s="22" t="s">
        <v>340</v>
      </c>
      <c r="C188" s="19">
        <f t="shared" ca="1" si="23"/>
        <v>3.9581639395814841E-2</v>
      </c>
      <c r="D188" s="19">
        <f t="shared" ca="1" si="24"/>
        <v>3.9581639395814841E-2</v>
      </c>
      <c r="E188" s="26" t="s">
        <v>637</v>
      </c>
      <c r="F188" s="11">
        <f t="shared" ca="1" si="25"/>
        <v>0</v>
      </c>
      <c r="K188" s="15" t="s">
        <v>937</v>
      </c>
      <c r="L188" s="16">
        <v>142</v>
      </c>
      <c r="M188" s="28">
        <f t="shared" ca="1" si="21"/>
        <v>138</v>
      </c>
      <c r="N188" s="28">
        <f t="shared" ca="1" si="22"/>
        <v>158</v>
      </c>
      <c r="O188" s="42">
        <f t="shared" ca="1" si="26"/>
        <v>1</v>
      </c>
    </row>
    <row r="189" spans="2:15" x14ac:dyDescent="0.25">
      <c r="B189" s="22" t="s">
        <v>341</v>
      </c>
      <c r="C189" s="19">
        <f t="shared" ca="1" si="23"/>
        <v>1.4397524310041663</v>
      </c>
      <c r="D189" s="19">
        <f t="shared" ca="1" si="24"/>
        <v>1.4397524310041663</v>
      </c>
      <c r="E189" s="26" t="s">
        <v>638</v>
      </c>
      <c r="F189" s="11">
        <f t="shared" ca="1" si="25"/>
        <v>0</v>
      </c>
      <c r="K189" s="15" t="s">
        <v>938</v>
      </c>
      <c r="L189" s="16">
        <v>154</v>
      </c>
      <c r="M189" s="28">
        <f t="shared" ca="1" si="21"/>
        <v>138</v>
      </c>
      <c r="N189" s="28">
        <f t="shared" ca="1" si="22"/>
        <v>158</v>
      </c>
      <c r="O189" s="42">
        <f t="shared" ca="1" si="26"/>
        <v>1</v>
      </c>
    </row>
    <row r="190" spans="2:15" x14ac:dyDescent="0.25">
      <c r="B190" s="22" t="s">
        <v>342</v>
      </c>
      <c r="C190" s="19">
        <f t="shared" ca="1" si="23"/>
        <v>-0.37300850990420947</v>
      </c>
      <c r="D190" s="19">
        <f t="shared" ca="1" si="24"/>
        <v>-0.37300850990420947</v>
      </c>
      <c r="E190" s="26" t="s">
        <v>639</v>
      </c>
      <c r="F190" s="11">
        <f t="shared" ca="1" si="25"/>
        <v>1</v>
      </c>
      <c r="K190" s="15" t="s">
        <v>939</v>
      </c>
      <c r="L190" s="16">
        <v>142</v>
      </c>
      <c r="M190" s="28">
        <f t="shared" ca="1" si="21"/>
        <v>138</v>
      </c>
      <c r="N190" s="28">
        <f t="shared" ca="1" si="22"/>
        <v>158</v>
      </c>
      <c r="O190" s="42">
        <f t="shared" ca="1" si="26"/>
        <v>1</v>
      </c>
    </row>
    <row r="191" spans="2:15" x14ac:dyDescent="0.25">
      <c r="B191" s="22" t="s">
        <v>343</v>
      </c>
      <c r="C191" s="19">
        <f t="shared" ca="1" si="23"/>
        <v>-1.21686231370252E-2</v>
      </c>
      <c r="D191" s="19">
        <f t="shared" ca="1" si="24"/>
        <v>-1.21686231370252E-2</v>
      </c>
      <c r="E191" s="26" t="s">
        <v>640</v>
      </c>
      <c r="F191" s="11">
        <f t="shared" ca="1" si="25"/>
        <v>1</v>
      </c>
      <c r="K191" s="15" t="s">
        <v>940</v>
      </c>
      <c r="L191" s="16">
        <v>145</v>
      </c>
      <c r="M191" s="28">
        <f t="shared" ca="1" si="21"/>
        <v>138</v>
      </c>
      <c r="N191" s="28">
        <f t="shared" ca="1" si="22"/>
        <v>158</v>
      </c>
      <c r="O191" s="42">
        <f t="shared" ca="1" si="26"/>
        <v>1</v>
      </c>
    </row>
    <row r="192" spans="2:15" x14ac:dyDescent="0.25">
      <c r="B192" s="22" t="s">
        <v>344</v>
      </c>
      <c r="C192" s="19">
        <f t="shared" ca="1" si="23"/>
        <v>0.78082381203493156</v>
      </c>
      <c r="D192" s="19">
        <f t="shared" ca="1" si="24"/>
        <v>0.78082381203493156</v>
      </c>
      <c r="E192" s="26" t="s">
        <v>641</v>
      </c>
      <c r="F192" s="11">
        <f t="shared" ca="1" si="25"/>
        <v>0</v>
      </c>
      <c r="K192" s="15" t="s">
        <v>941</v>
      </c>
      <c r="L192" s="16">
        <v>166</v>
      </c>
      <c r="M192" s="28">
        <f t="shared" ca="1" si="21"/>
        <v>138</v>
      </c>
      <c r="N192" s="28">
        <f t="shared" ca="1" si="22"/>
        <v>158</v>
      </c>
      <c r="O192" s="42">
        <f t="shared" ca="1" si="26"/>
        <v>0</v>
      </c>
    </row>
    <row r="193" spans="2:15" x14ac:dyDescent="0.25">
      <c r="B193" s="22" t="s">
        <v>345</v>
      </c>
      <c r="C193" s="19">
        <f t="shared" ca="1" si="23"/>
        <v>-6.5478122228926905E-2</v>
      </c>
      <c r="D193" s="19">
        <f t="shared" ca="1" si="24"/>
        <v>-6.5478122228926905E-2</v>
      </c>
      <c r="E193" s="26" t="s">
        <v>642</v>
      </c>
      <c r="F193" s="11">
        <f t="shared" ca="1" si="25"/>
        <v>1</v>
      </c>
      <c r="K193" s="15" t="s">
        <v>942</v>
      </c>
      <c r="L193" s="16">
        <v>175</v>
      </c>
      <c r="M193" s="28">
        <f t="shared" ca="1" si="21"/>
        <v>138</v>
      </c>
      <c r="N193" s="28">
        <f t="shared" ca="1" si="22"/>
        <v>158</v>
      </c>
      <c r="O193" s="42">
        <f t="shared" ca="1" si="26"/>
        <v>0</v>
      </c>
    </row>
    <row r="194" spans="2:15" x14ac:dyDescent="0.25">
      <c r="B194" s="22" t="s">
        <v>346</v>
      </c>
      <c r="C194" s="19">
        <f t="shared" ca="1" si="23"/>
        <v>0.4564367462469669</v>
      </c>
      <c r="D194" s="19">
        <f t="shared" ca="1" si="24"/>
        <v>0.4564367462469669</v>
      </c>
      <c r="E194" s="26" t="s">
        <v>643</v>
      </c>
      <c r="F194" s="11">
        <f t="shared" ca="1" si="25"/>
        <v>0</v>
      </c>
      <c r="K194" s="15" t="s">
        <v>943</v>
      </c>
      <c r="L194" s="16">
        <v>138</v>
      </c>
      <c r="M194" s="28">
        <f t="shared" ca="1" si="21"/>
        <v>138</v>
      </c>
      <c r="N194" s="28">
        <f t="shared" ca="1" si="22"/>
        <v>158</v>
      </c>
      <c r="O194" s="42">
        <f t="shared" ca="1" si="26"/>
        <v>1</v>
      </c>
    </row>
    <row r="195" spans="2:15" x14ac:dyDescent="0.25">
      <c r="B195" s="22" t="s">
        <v>347</v>
      </c>
      <c r="C195" s="19">
        <f t="shared" ca="1" si="23"/>
        <v>-1.4408949352542406</v>
      </c>
      <c r="D195" s="19">
        <f t="shared" ca="1" si="24"/>
        <v>-1.4408949352542406</v>
      </c>
      <c r="E195" s="26" t="s">
        <v>644</v>
      </c>
      <c r="F195" s="11">
        <f t="shared" ca="1" si="25"/>
        <v>1</v>
      </c>
      <c r="K195" s="15" t="s">
        <v>944</v>
      </c>
      <c r="L195" s="16">
        <v>144</v>
      </c>
      <c r="M195" s="28">
        <f t="shared" ca="1" si="21"/>
        <v>138</v>
      </c>
      <c r="N195" s="28">
        <f t="shared" ca="1" si="22"/>
        <v>158</v>
      </c>
      <c r="O195" s="42">
        <f t="shared" ca="1" si="26"/>
        <v>1</v>
      </c>
    </row>
    <row r="196" spans="2:15" x14ac:dyDescent="0.25">
      <c r="B196" s="22" t="s">
        <v>348</v>
      </c>
      <c r="C196" s="19">
        <f t="shared" ca="1" si="23"/>
        <v>0.36067132924744288</v>
      </c>
      <c r="D196" s="19">
        <f t="shared" ca="1" si="24"/>
        <v>0.36067132924744288</v>
      </c>
      <c r="E196" s="26" t="s">
        <v>645</v>
      </c>
      <c r="F196" s="11">
        <f t="shared" ca="1" si="25"/>
        <v>0</v>
      </c>
      <c r="K196" s="15" t="s">
        <v>945</v>
      </c>
      <c r="L196" s="16">
        <v>145</v>
      </c>
      <c r="M196" s="28">
        <f t="shared" ca="1" si="21"/>
        <v>138</v>
      </c>
      <c r="N196" s="28">
        <f t="shared" ca="1" si="22"/>
        <v>158</v>
      </c>
      <c r="O196" s="42">
        <f t="shared" ca="1" si="26"/>
        <v>1</v>
      </c>
    </row>
    <row r="197" spans="2:15" x14ac:dyDescent="0.25">
      <c r="B197" s="22" t="s">
        <v>349</v>
      </c>
      <c r="C197" s="19">
        <f t="shared" ca="1" si="23"/>
        <v>0.2767875023385965</v>
      </c>
      <c r="D197" s="19">
        <f t="shared" ca="1" si="24"/>
        <v>0.2767875023385965</v>
      </c>
      <c r="E197" s="26" t="s">
        <v>646</v>
      </c>
      <c r="F197" s="11">
        <f t="shared" ca="1" si="25"/>
        <v>0</v>
      </c>
      <c r="K197" s="15" t="s">
        <v>946</v>
      </c>
      <c r="L197" s="16">
        <v>158</v>
      </c>
      <c r="M197" s="28">
        <f t="shared" ca="1" si="21"/>
        <v>138</v>
      </c>
      <c r="N197" s="28">
        <f t="shared" ca="1" si="22"/>
        <v>158</v>
      </c>
      <c r="O197" s="42">
        <f t="shared" ca="1" si="26"/>
        <v>1</v>
      </c>
    </row>
    <row r="198" spans="2:15" x14ac:dyDescent="0.25">
      <c r="B198" s="22" t="s">
        <v>350</v>
      </c>
      <c r="C198" s="19">
        <f t="shared" ca="1" si="23"/>
        <v>0.63072941477614397</v>
      </c>
      <c r="D198" s="19">
        <f t="shared" ca="1" si="24"/>
        <v>0.63072941477614397</v>
      </c>
      <c r="E198" s="26" t="s">
        <v>647</v>
      </c>
      <c r="F198" s="11">
        <f t="shared" ca="1" si="25"/>
        <v>0</v>
      </c>
      <c r="K198" s="15" t="s">
        <v>947</v>
      </c>
      <c r="L198" s="16">
        <v>146</v>
      </c>
      <c r="M198" s="28">
        <f t="shared" ca="1" si="21"/>
        <v>138</v>
      </c>
      <c r="N198" s="28">
        <f t="shared" ca="1" si="22"/>
        <v>158</v>
      </c>
      <c r="O198" s="42">
        <f t="shared" ca="1" si="26"/>
        <v>1</v>
      </c>
    </row>
    <row r="199" spans="2:15" x14ac:dyDescent="0.25">
      <c r="B199" s="22" t="s">
        <v>351</v>
      </c>
      <c r="C199" s="19">
        <f t="shared" ca="1" si="23"/>
        <v>-1.835264313586437</v>
      </c>
      <c r="D199" s="19">
        <f t="shared" ca="1" si="24"/>
        <v>-1.835264313586437</v>
      </c>
      <c r="E199" s="26" t="s">
        <v>648</v>
      </c>
      <c r="F199" s="11">
        <f t="shared" ca="1" si="25"/>
        <v>1</v>
      </c>
      <c r="K199" s="15" t="s">
        <v>948</v>
      </c>
      <c r="L199" s="16">
        <v>149</v>
      </c>
      <c r="M199" s="28">
        <f t="shared" ca="1" si="21"/>
        <v>138</v>
      </c>
      <c r="N199" s="28">
        <f t="shared" ca="1" si="22"/>
        <v>158</v>
      </c>
      <c r="O199" s="42">
        <f t="shared" ca="1" si="26"/>
        <v>1</v>
      </c>
    </row>
    <row r="200" spans="2:15" x14ac:dyDescent="0.25">
      <c r="B200" s="22" t="s">
        <v>352</v>
      </c>
      <c r="C200" s="19">
        <f t="shared" ca="1" si="23"/>
        <v>0.5574256723277855</v>
      </c>
      <c r="D200" s="19">
        <f t="shared" ca="1" si="24"/>
        <v>0.5574256723277855</v>
      </c>
      <c r="E200" s="26" t="s">
        <v>649</v>
      </c>
      <c r="F200" s="11">
        <f t="shared" ca="1" si="25"/>
        <v>0</v>
      </c>
      <c r="K200" s="15" t="s">
        <v>949</v>
      </c>
      <c r="L200" s="16">
        <v>138</v>
      </c>
      <c r="M200" s="28">
        <f t="shared" ca="1" si="21"/>
        <v>138</v>
      </c>
      <c r="N200" s="28">
        <f t="shared" ca="1" si="22"/>
        <v>158</v>
      </c>
      <c r="O200" s="42">
        <f t="shared" ca="1" si="26"/>
        <v>1</v>
      </c>
    </row>
    <row r="201" spans="2:15" x14ac:dyDescent="0.25">
      <c r="B201" s="22" t="s">
        <v>353</v>
      </c>
      <c r="C201" s="19">
        <f t="shared" ca="1" si="23"/>
        <v>-0.54084185767814574</v>
      </c>
      <c r="D201" s="19">
        <f t="shared" ca="1" si="24"/>
        <v>-0.54084185767814574</v>
      </c>
      <c r="E201" s="26" t="s">
        <v>650</v>
      </c>
      <c r="F201" s="11">
        <f t="shared" ca="1" si="25"/>
        <v>1</v>
      </c>
      <c r="K201" s="15" t="s">
        <v>950</v>
      </c>
      <c r="L201" s="16">
        <v>149</v>
      </c>
      <c r="M201" s="28">
        <f t="shared" ca="1" si="21"/>
        <v>138</v>
      </c>
      <c r="N201" s="28">
        <f t="shared" ca="1" si="22"/>
        <v>158</v>
      </c>
      <c r="O201" s="42">
        <f t="shared" ca="1" si="26"/>
        <v>1</v>
      </c>
    </row>
    <row r="202" spans="2:15" x14ac:dyDescent="0.25">
      <c r="B202" s="22" t="s">
        <v>354</v>
      </c>
      <c r="C202" s="19">
        <f t="shared" ca="1" si="23"/>
        <v>0.94052865617327519</v>
      </c>
      <c r="D202" s="19">
        <f t="shared" ca="1" si="24"/>
        <v>0.94052865617327519</v>
      </c>
      <c r="E202" s="26" t="s">
        <v>651</v>
      </c>
      <c r="F202" s="11">
        <f t="shared" ca="1" si="25"/>
        <v>0</v>
      </c>
      <c r="K202" s="15" t="s">
        <v>951</v>
      </c>
      <c r="L202" s="16">
        <v>148</v>
      </c>
      <c r="M202" s="28">
        <f t="shared" ca="1" si="21"/>
        <v>138</v>
      </c>
      <c r="N202" s="28">
        <f t="shared" ca="1" si="22"/>
        <v>158</v>
      </c>
      <c r="O202" s="42">
        <f t="shared" ca="1" si="26"/>
        <v>1</v>
      </c>
    </row>
    <row r="203" spans="2:15" x14ac:dyDescent="0.25">
      <c r="B203" s="22" t="s">
        <v>355</v>
      </c>
      <c r="C203" s="19">
        <f t="shared" ca="1" si="23"/>
        <v>-1.4249758362303366</v>
      </c>
      <c r="D203" s="19">
        <f t="shared" ca="1" si="24"/>
        <v>-1.4249758362303366</v>
      </c>
      <c r="E203" s="26" t="s">
        <v>652</v>
      </c>
      <c r="F203" s="11">
        <f t="shared" ca="1" si="25"/>
        <v>1</v>
      </c>
      <c r="K203" s="15" t="s">
        <v>952</v>
      </c>
      <c r="L203" s="16">
        <v>157</v>
      </c>
      <c r="M203" s="28">
        <f t="shared" ref="M203:M266" ca="1" si="27">$I$14-epsilon</f>
        <v>138</v>
      </c>
      <c r="N203" s="28">
        <f t="shared" ref="N203:N266" ca="1" si="28">$I$14+epsilon</f>
        <v>158</v>
      </c>
      <c r="O203" s="42">
        <f t="shared" ca="1" si="26"/>
        <v>1</v>
      </c>
    </row>
    <row r="204" spans="2:15" x14ac:dyDescent="0.25">
      <c r="B204" s="22" t="s">
        <v>356</v>
      </c>
      <c r="C204" s="19">
        <f t="shared" ref="C204:C267" ca="1" si="29">NORMSINV(RAND())</f>
        <v>5.5723971983411114E-2</v>
      </c>
      <c r="D204" s="19">
        <f t="shared" ref="D204:D267" ca="1" si="30">SQRT(rho)*$C$11+SQRT(1-rho)*C204</f>
        <v>5.5723971983411114E-2</v>
      </c>
      <c r="E204" s="26" t="s">
        <v>653</v>
      </c>
      <c r="F204" s="11">
        <f t="shared" ref="F204:F267" ca="1" si="31">IF(D204&lt;NORMSINV(p),1,0)</f>
        <v>0</v>
      </c>
      <c r="K204" s="15" t="s">
        <v>953</v>
      </c>
      <c r="L204" s="16">
        <v>149</v>
      </c>
      <c r="M204" s="28">
        <f t="shared" ca="1" si="27"/>
        <v>138</v>
      </c>
      <c r="N204" s="28">
        <f t="shared" ca="1" si="28"/>
        <v>158</v>
      </c>
      <c r="O204" s="42">
        <f t="shared" ca="1" si="26"/>
        <v>1</v>
      </c>
    </row>
    <row r="205" spans="2:15" x14ac:dyDescent="0.25">
      <c r="B205" s="22" t="s">
        <v>357</v>
      </c>
      <c r="C205" s="19">
        <f t="shared" ca="1" si="29"/>
        <v>2.2366099766992797</v>
      </c>
      <c r="D205" s="19">
        <f t="shared" ca="1" si="30"/>
        <v>2.2366099766992797</v>
      </c>
      <c r="E205" s="26" t="s">
        <v>654</v>
      </c>
      <c r="F205" s="11">
        <f t="shared" ca="1" si="31"/>
        <v>0</v>
      </c>
      <c r="K205" s="15" t="s">
        <v>954</v>
      </c>
      <c r="L205" s="16">
        <v>143</v>
      </c>
      <c r="M205" s="28">
        <f t="shared" ca="1" si="27"/>
        <v>138</v>
      </c>
      <c r="N205" s="28">
        <f t="shared" ca="1" si="28"/>
        <v>158</v>
      </c>
      <c r="O205" s="42">
        <f t="shared" ref="O205:O268" ca="1" si="32">IF(AND(L205&gt;=M205,L205&lt;=N205),1,0)</f>
        <v>1</v>
      </c>
    </row>
    <row r="206" spans="2:15" x14ac:dyDescent="0.25">
      <c r="B206" s="22" t="s">
        <v>358</v>
      </c>
      <c r="C206" s="19">
        <f t="shared" ca="1" si="29"/>
        <v>-0.1428873542089916</v>
      </c>
      <c r="D206" s="19">
        <f t="shared" ca="1" si="30"/>
        <v>-0.1428873542089916</v>
      </c>
      <c r="E206" s="26" t="s">
        <v>655</v>
      </c>
      <c r="F206" s="11">
        <f t="shared" ca="1" si="31"/>
        <v>1</v>
      </c>
      <c r="K206" s="15" t="s">
        <v>955</v>
      </c>
      <c r="L206" s="16">
        <v>147</v>
      </c>
      <c r="M206" s="28">
        <f t="shared" ca="1" si="27"/>
        <v>138</v>
      </c>
      <c r="N206" s="28">
        <f t="shared" ca="1" si="28"/>
        <v>158</v>
      </c>
      <c r="O206" s="42">
        <f t="shared" ca="1" si="32"/>
        <v>1</v>
      </c>
    </row>
    <row r="207" spans="2:15" x14ac:dyDescent="0.25">
      <c r="B207" s="22" t="s">
        <v>359</v>
      </c>
      <c r="C207" s="19">
        <f t="shared" ca="1" si="29"/>
        <v>-0.30206131869723007</v>
      </c>
      <c r="D207" s="19">
        <f t="shared" ca="1" si="30"/>
        <v>-0.30206131869723007</v>
      </c>
      <c r="E207" s="26" t="s">
        <v>656</v>
      </c>
      <c r="F207" s="11">
        <f t="shared" ca="1" si="31"/>
        <v>1</v>
      </c>
      <c r="K207" s="15" t="s">
        <v>956</v>
      </c>
      <c r="L207" s="16">
        <v>138</v>
      </c>
      <c r="M207" s="28">
        <f t="shared" ca="1" si="27"/>
        <v>138</v>
      </c>
      <c r="N207" s="28">
        <f t="shared" ca="1" si="28"/>
        <v>158</v>
      </c>
      <c r="O207" s="42">
        <f t="shared" ca="1" si="32"/>
        <v>1</v>
      </c>
    </row>
    <row r="208" spans="2:15" x14ac:dyDescent="0.25">
      <c r="B208" s="22" t="s">
        <v>360</v>
      </c>
      <c r="C208" s="19">
        <f t="shared" ca="1" si="29"/>
        <v>-0.55921442759923323</v>
      </c>
      <c r="D208" s="19">
        <f t="shared" ca="1" si="30"/>
        <v>-0.55921442759923323</v>
      </c>
      <c r="E208" s="26" t="s">
        <v>657</v>
      </c>
      <c r="F208" s="11">
        <f t="shared" ca="1" si="31"/>
        <v>1</v>
      </c>
      <c r="K208" s="15" t="s">
        <v>957</v>
      </c>
      <c r="L208" s="16">
        <v>152</v>
      </c>
      <c r="M208" s="28">
        <f t="shared" ca="1" si="27"/>
        <v>138</v>
      </c>
      <c r="N208" s="28">
        <f t="shared" ca="1" si="28"/>
        <v>158</v>
      </c>
      <c r="O208" s="42">
        <f t="shared" ca="1" si="32"/>
        <v>1</v>
      </c>
    </row>
    <row r="209" spans="2:15" x14ac:dyDescent="0.25">
      <c r="B209" s="22" t="s">
        <v>361</v>
      </c>
      <c r="C209" s="19">
        <f t="shared" ca="1" si="29"/>
        <v>0.10895012850884089</v>
      </c>
      <c r="D209" s="19">
        <f t="shared" ca="1" si="30"/>
        <v>0.10895012850884089</v>
      </c>
      <c r="E209" s="26" t="s">
        <v>658</v>
      </c>
      <c r="F209" s="11">
        <f t="shared" ca="1" si="31"/>
        <v>0</v>
      </c>
      <c r="K209" s="15" t="s">
        <v>958</v>
      </c>
      <c r="L209" s="16">
        <v>136</v>
      </c>
      <c r="M209" s="28">
        <f t="shared" ca="1" si="27"/>
        <v>138</v>
      </c>
      <c r="N209" s="28">
        <f t="shared" ca="1" si="28"/>
        <v>158</v>
      </c>
      <c r="O209" s="42">
        <f t="shared" ca="1" si="32"/>
        <v>0</v>
      </c>
    </row>
    <row r="210" spans="2:15" x14ac:dyDescent="0.25">
      <c r="B210" s="22" t="s">
        <v>362</v>
      </c>
      <c r="C210" s="19">
        <f t="shared" ca="1" si="29"/>
        <v>-0.47680454074861633</v>
      </c>
      <c r="D210" s="19">
        <f t="shared" ca="1" si="30"/>
        <v>-0.47680454074861633</v>
      </c>
      <c r="E210" s="26" t="s">
        <v>659</v>
      </c>
      <c r="F210" s="11">
        <f t="shared" ca="1" si="31"/>
        <v>1</v>
      </c>
      <c r="K210" s="15" t="s">
        <v>959</v>
      </c>
      <c r="L210" s="16">
        <v>148</v>
      </c>
      <c r="M210" s="28">
        <f t="shared" ca="1" si="27"/>
        <v>138</v>
      </c>
      <c r="N210" s="28">
        <f t="shared" ca="1" si="28"/>
        <v>158</v>
      </c>
      <c r="O210" s="42">
        <f t="shared" ca="1" si="32"/>
        <v>1</v>
      </c>
    </row>
    <row r="211" spans="2:15" x14ac:dyDescent="0.25">
      <c r="B211" s="22" t="s">
        <v>363</v>
      </c>
      <c r="C211" s="19">
        <f t="shared" ca="1" si="29"/>
        <v>-2.2312319610962668</v>
      </c>
      <c r="D211" s="19">
        <f t="shared" ca="1" si="30"/>
        <v>-2.2312319610962668</v>
      </c>
      <c r="E211" s="26" t="s">
        <v>660</v>
      </c>
      <c r="F211" s="11">
        <f t="shared" ca="1" si="31"/>
        <v>1</v>
      </c>
      <c r="K211" s="15" t="s">
        <v>960</v>
      </c>
      <c r="L211" s="16">
        <v>143</v>
      </c>
      <c r="M211" s="28">
        <f t="shared" ca="1" si="27"/>
        <v>138</v>
      </c>
      <c r="N211" s="28">
        <f t="shared" ca="1" si="28"/>
        <v>158</v>
      </c>
      <c r="O211" s="42">
        <f t="shared" ca="1" si="32"/>
        <v>1</v>
      </c>
    </row>
    <row r="212" spans="2:15" x14ac:dyDescent="0.25">
      <c r="B212" s="22" t="s">
        <v>364</v>
      </c>
      <c r="C212" s="19">
        <f t="shared" ca="1" si="29"/>
        <v>0.15134237560179881</v>
      </c>
      <c r="D212" s="19">
        <f t="shared" ca="1" si="30"/>
        <v>0.15134237560179881</v>
      </c>
      <c r="E212" s="26" t="s">
        <v>661</v>
      </c>
      <c r="F212" s="11">
        <f t="shared" ca="1" si="31"/>
        <v>0</v>
      </c>
      <c r="K212" s="15" t="s">
        <v>961</v>
      </c>
      <c r="L212" s="16">
        <v>158</v>
      </c>
      <c r="M212" s="28">
        <f t="shared" ca="1" si="27"/>
        <v>138</v>
      </c>
      <c r="N212" s="28">
        <f t="shared" ca="1" si="28"/>
        <v>158</v>
      </c>
      <c r="O212" s="42">
        <f t="shared" ca="1" si="32"/>
        <v>1</v>
      </c>
    </row>
    <row r="213" spans="2:15" x14ac:dyDescent="0.25">
      <c r="B213" s="22" t="s">
        <v>365</v>
      </c>
      <c r="C213" s="19">
        <f t="shared" ca="1" si="29"/>
        <v>-1.2618094924222529</v>
      </c>
      <c r="D213" s="19">
        <f t="shared" ca="1" si="30"/>
        <v>-1.2618094924222529</v>
      </c>
      <c r="E213" s="26" t="s">
        <v>662</v>
      </c>
      <c r="F213" s="11">
        <f t="shared" ca="1" si="31"/>
        <v>1</v>
      </c>
      <c r="K213" s="15" t="s">
        <v>962</v>
      </c>
      <c r="L213" s="16">
        <v>149</v>
      </c>
      <c r="M213" s="28">
        <f t="shared" ca="1" si="27"/>
        <v>138</v>
      </c>
      <c r="N213" s="28">
        <f t="shared" ca="1" si="28"/>
        <v>158</v>
      </c>
      <c r="O213" s="42">
        <f t="shared" ca="1" si="32"/>
        <v>1</v>
      </c>
    </row>
    <row r="214" spans="2:15" x14ac:dyDescent="0.25">
      <c r="B214" s="22" t="s">
        <v>366</v>
      </c>
      <c r="C214" s="19">
        <f t="shared" ca="1" si="29"/>
        <v>-0.79733939240155671</v>
      </c>
      <c r="D214" s="19">
        <f t="shared" ca="1" si="30"/>
        <v>-0.79733939240155671</v>
      </c>
      <c r="E214" s="26" t="s">
        <v>663</v>
      </c>
      <c r="F214" s="11">
        <f t="shared" ca="1" si="31"/>
        <v>1</v>
      </c>
      <c r="K214" s="15" t="s">
        <v>963</v>
      </c>
      <c r="L214" s="16">
        <v>137</v>
      </c>
      <c r="M214" s="28">
        <f t="shared" ca="1" si="27"/>
        <v>138</v>
      </c>
      <c r="N214" s="28">
        <f t="shared" ca="1" si="28"/>
        <v>158</v>
      </c>
      <c r="O214" s="42">
        <f t="shared" ca="1" si="32"/>
        <v>0</v>
      </c>
    </row>
    <row r="215" spans="2:15" x14ac:dyDescent="0.25">
      <c r="B215" s="22" t="s">
        <v>367</v>
      </c>
      <c r="C215" s="19">
        <f t="shared" ca="1" si="29"/>
        <v>-6.5255784731091948E-2</v>
      </c>
      <c r="D215" s="19">
        <f t="shared" ca="1" si="30"/>
        <v>-6.5255784731091948E-2</v>
      </c>
      <c r="E215" s="26" t="s">
        <v>664</v>
      </c>
      <c r="F215" s="11">
        <f t="shared" ca="1" si="31"/>
        <v>1</v>
      </c>
      <c r="K215" s="15" t="s">
        <v>964</v>
      </c>
      <c r="L215" s="16">
        <v>145</v>
      </c>
      <c r="M215" s="28">
        <f t="shared" ca="1" si="27"/>
        <v>138</v>
      </c>
      <c r="N215" s="28">
        <f t="shared" ca="1" si="28"/>
        <v>158</v>
      </c>
      <c r="O215" s="42">
        <f t="shared" ca="1" si="32"/>
        <v>1</v>
      </c>
    </row>
    <row r="216" spans="2:15" x14ac:dyDescent="0.25">
      <c r="B216" s="22" t="s">
        <v>368</v>
      </c>
      <c r="C216" s="19">
        <f t="shared" ca="1" si="29"/>
        <v>-0.20646702541295436</v>
      </c>
      <c r="D216" s="19">
        <f t="shared" ca="1" si="30"/>
        <v>-0.20646702541295436</v>
      </c>
      <c r="E216" s="26" t="s">
        <v>665</v>
      </c>
      <c r="F216" s="11">
        <f t="shared" ca="1" si="31"/>
        <v>1</v>
      </c>
      <c r="K216" s="15" t="s">
        <v>965</v>
      </c>
      <c r="L216" s="16">
        <v>130</v>
      </c>
      <c r="M216" s="28">
        <f t="shared" ca="1" si="27"/>
        <v>138</v>
      </c>
      <c r="N216" s="28">
        <f t="shared" ca="1" si="28"/>
        <v>158</v>
      </c>
      <c r="O216" s="42">
        <f t="shared" ca="1" si="32"/>
        <v>0</v>
      </c>
    </row>
    <row r="217" spans="2:15" x14ac:dyDescent="0.25">
      <c r="B217" s="22" t="s">
        <v>369</v>
      </c>
      <c r="C217" s="19">
        <f t="shared" ca="1" si="29"/>
        <v>0.96425992356892454</v>
      </c>
      <c r="D217" s="19">
        <f t="shared" ca="1" si="30"/>
        <v>0.96425992356892454</v>
      </c>
      <c r="E217" s="26" t="s">
        <v>666</v>
      </c>
      <c r="F217" s="11">
        <f t="shared" ca="1" si="31"/>
        <v>0</v>
      </c>
      <c r="K217" s="15" t="s">
        <v>966</v>
      </c>
      <c r="L217" s="16">
        <v>135</v>
      </c>
      <c r="M217" s="28">
        <f t="shared" ca="1" si="27"/>
        <v>138</v>
      </c>
      <c r="N217" s="28">
        <f t="shared" ca="1" si="28"/>
        <v>158</v>
      </c>
      <c r="O217" s="42">
        <f t="shared" ca="1" si="32"/>
        <v>0</v>
      </c>
    </row>
    <row r="218" spans="2:15" x14ac:dyDescent="0.25">
      <c r="B218" s="22" t="s">
        <v>370</v>
      </c>
      <c r="C218" s="19">
        <f t="shared" ca="1" si="29"/>
        <v>0.30639533653753398</v>
      </c>
      <c r="D218" s="19">
        <f t="shared" ca="1" si="30"/>
        <v>0.30639533653753398</v>
      </c>
      <c r="E218" s="26" t="s">
        <v>667</v>
      </c>
      <c r="F218" s="11">
        <f t="shared" ca="1" si="31"/>
        <v>0</v>
      </c>
      <c r="K218" s="15" t="s">
        <v>967</v>
      </c>
      <c r="L218" s="16">
        <v>142</v>
      </c>
      <c r="M218" s="28">
        <f t="shared" ca="1" si="27"/>
        <v>138</v>
      </c>
      <c r="N218" s="28">
        <f t="shared" ca="1" si="28"/>
        <v>158</v>
      </c>
      <c r="O218" s="42">
        <f t="shared" ca="1" si="32"/>
        <v>1</v>
      </c>
    </row>
    <row r="219" spans="2:15" x14ac:dyDescent="0.25">
      <c r="B219" s="22" t="s">
        <v>371</v>
      </c>
      <c r="C219" s="19">
        <f t="shared" ca="1" si="29"/>
        <v>0.14322372040731382</v>
      </c>
      <c r="D219" s="19">
        <f t="shared" ca="1" si="30"/>
        <v>0.14322372040731382</v>
      </c>
      <c r="E219" s="26" t="s">
        <v>668</v>
      </c>
      <c r="F219" s="11">
        <f t="shared" ca="1" si="31"/>
        <v>0</v>
      </c>
      <c r="K219" s="15" t="s">
        <v>968</v>
      </c>
      <c r="L219" s="16">
        <v>157</v>
      </c>
      <c r="M219" s="28">
        <f t="shared" ca="1" si="27"/>
        <v>138</v>
      </c>
      <c r="N219" s="28">
        <f t="shared" ca="1" si="28"/>
        <v>158</v>
      </c>
      <c r="O219" s="42">
        <f t="shared" ca="1" si="32"/>
        <v>1</v>
      </c>
    </row>
    <row r="220" spans="2:15" x14ac:dyDescent="0.25">
      <c r="B220" s="22" t="s">
        <v>372</v>
      </c>
      <c r="C220" s="19">
        <f t="shared" ca="1" si="29"/>
        <v>-0.97733076104578509</v>
      </c>
      <c r="D220" s="19">
        <f t="shared" ca="1" si="30"/>
        <v>-0.97733076104578509</v>
      </c>
      <c r="E220" s="26" t="s">
        <v>669</v>
      </c>
      <c r="F220" s="11">
        <f t="shared" ca="1" si="31"/>
        <v>1</v>
      </c>
      <c r="K220" s="15" t="s">
        <v>969</v>
      </c>
      <c r="L220" s="16">
        <v>154</v>
      </c>
      <c r="M220" s="28">
        <f t="shared" ca="1" si="27"/>
        <v>138</v>
      </c>
      <c r="N220" s="28">
        <f t="shared" ca="1" si="28"/>
        <v>158</v>
      </c>
      <c r="O220" s="42">
        <f t="shared" ca="1" si="32"/>
        <v>1</v>
      </c>
    </row>
    <row r="221" spans="2:15" x14ac:dyDescent="0.25">
      <c r="B221" s="22" t="s">
        <v>373</v>
      </c>
      <c r="C221" s="19">
        <f t="shared" ca="1" si="29"/>
        <v>-0.60735001157314428</v>
      </c>
      <c r="D221" s="19">
        <f t="shared" ca="1" si="30"/>
        <v>-0.60735001157314428</v>
      </c>
      <c r="E221" s="26" t="s">
        <v>670</v>
      </c>
      <c r="F221" s="11">
        <f t="shared" ca="1" si="31"/>
        <v>1</v>
      </c>
      <c r="K221" s="15" t="s">
        <v>970</v>
      </c>
      <c r="L221" s="16">
        <v>156</v>
      </c>
      <c r="M221" s="28">
        <f t="shared" ca="1" si="27"/>
        <v>138</v>
      </c>
      <c r="N221" s="28">
        <f t="shared" ca="1" si="28"/>
        <v>158</v>
      </c>
      <c r="O221" s="42">
        <f t="shared" ca="1" si="32"/>
        <v>1</v>
      </c>
    </row>
    <row r="222" spans="2:15" x14ac:dyDescent="0.25">
      <c r="B222" s="22" t="s">
        <v>374</v>
      </c>
      <c r="C222" s="19">
        <f t="shared" ca="1" si="29"/>
        <v>-0.48432975986513671</v>
      </c>
      <c r="D222" s="19">
        <f t="shared" ca="1" si="30"/>
        <v>-0.48432975986513671</v>
      </c>
      <c r="E222" s="26" t="s">
        <v>671</v>
      </c>
      <c r="F222" s="11">
        <f t="shared" ca="1" si="31"/>
        <v>1</v>
      </c>
      <c r="K222" s="15" t="s">
        <v>971</v>
      </c>
      <c r="L222" s="16">
        <v>147</v>
      </c>
      <c r="M222" s="28">
        <f t="shared" ca="1" si="27"/>
        <v>138</v>
      </c>
      <c r="N222" s="28">
        <f t="shared" ca="1" si="28"/>
        <v>158</v>
      </c>
      <c r="O222" s="42">
        <f t="shared" ca="1" si="32"/>
        <v>1</v>
      </c>
    </row>
    <row r="223" spans="2:15" x14ac:dyDescent="0.25">
      <c r="B223" s="22" t="s">
        <v>375</v>
      </c>
      <c r="C223" s="19">
        <f t="shared" ca="1" si="29"/>
        <v>-0.85845266418985089</v>
      </c>
      <c r="D223" s="19">
        <f t="shared" ca="1" si="30"/>
        <v>-0.85845266418985089</v>
      </c>
      <c r="E223" s="26" t="s">
        <v>672</v>
      </c>
      <c r="F223" s="11">
        <f t="shared" ca="1" si="31"/>
        <v>1</v>
      </c>
      <c r="K223" s="15" t="s">
        <v>972</v>
      </c>
      <c r="L223" s="16">
        <v>152</v>
      </c>
      <c r="M223" s="28">
        <f t="shared" ca="1" si="27"/>
        <v>138</v>
      </c>
      <c r="N223" s="28">
        <f t="shared" ca="1" si="28"/>
        <v>158</v>
      </c>
      <c r="O223" s="42">
        <f t="shared" ca="1" si="32"/>
        <v>1</v>
      </c>
    </row>
    <row r="224" spans="2:15" x14ac:dyDescent="0.25">
      <c r="B224" s="22" t="s">
        <v>376</v>
      </c>
      <c r="C224" s="19">
        <f t="shared" ca="1" si="29"/>
        <v>1.5507140604467837</v>
      </c>
      <c r="D224" s="19">
        <f t="shared" ca="1" si="30"/>
        <v>1.5507140604467837</v>
      </c>
      <c r="E224" s="26" t="s">
        <v>673</v>
      </c>
      <c r="F224" s="11">
        <f t="shared" ca="1" si="31"/>
        <v>0</v>
      </c>
      <c r="K224" s="15" t="s">
        <v>973</v>
      </c>
      <c r="L224" s="16">
        <v>155</v>
      </c>
      <c r="M224" s="28">
        <f t="shared" ca="1" si="27"/>
        <v>138</v>
      </c>
      <c r="N224" s="28">
        <f t="shared" ca="1" si="28"/>
        <v>158</v>
      </c>
      <c r="O224" s="42">
        <f t="shared" ca="1" si="32"/>
        <v>1</v>
      </c>
    </row>
    <row r="225" spans="2:15" x14ac:dyDescent="0.25">
      <c r="B225" s="22" t="s">
        <v>377</v>
      </c>
      <c r="C225" s="19">
        <f t="shared" ca="1" si="29"/>
        <v>1.4505218058338376E-2</v>
      </c>
      <c r="D225" s="19">
        <f t="shared" ca="1" si="30"/>
        <v>1.4505218058338376E-2</v>
      </c>
      <c r="E225" s="26" t="s">
        <v>674</v>
      </c>
      <c r="F225" s="11">
        <f t="shared" ca="1" si="31"/>
        <v>0</v>
      </c>
      <c r="K225" s="15" t="s">
        <v>974</v>
      </c>
      <c r="L225" s="16">
        <v>145</v>
      </c>
      <c r="M225" s="28">
        <f t="shared" ca="1" si="27"/>
        <v>138</v>
      </c>
      <c r="N225" s="28">
        <f t="shared" ca="1" si="28"/>
        <v>158</v>
      </c>
      <c r="O225" s="42">
        <f t="shared" ca="1" si="32"/>
        <v>1</v>
      </c>
    </row>
    <row r="226" spans="2:15" x14ac:dyDescent="0.25">
      <c r="B226" s="22" t="s">
        <v>378</v>
      </c>
      <c r="C226" s="19">
        <f t="shared" ca="1" si="29"/>
        <v>-0.36129461692463843</v>
      </c>
      <c r="D226" s="19">
        <f t="shared" ca="1" si="30"/>
        <v>-0.36129461692463843</v>
      </c>
      <c r="E226" s="26" t="s">
        <v>675</v>
      </c>
      <c r="F226" s="11">
        <f t="shared" ca="1" si="31"/>
        <v>1</v>
      </c>
      <c r="K226" s="15" t="s">
        <v>975</v>
      </c>
      <c r="L226" s="16">
        <v>151</v>
      </c>
      <c r="M226" s="28">
        <f t="shared" ca="1" si="27"/>
        <v>138</v>
      </c>
      <c r="N226" s="28">
        <f t="shared" ca="1" si="28"/>
        <v>158</v>
      </c>
      <c r="O226" s="42">
        <f t="shared" ca="1" si="32"/>
        <v>1</v>
      </c>
    </row>
    <row r="227" spans="2:15" x14ac:dyDescent="0.25">
      <c r="B227" s="22" t="s">
        <v>379</v>
      </c>
      <c r="C227" s="19">
        <f t="shared" ca="1" si="29"/>
        <v>-0.93621265793895692</v>
      </c>
      <c r="D227" s="19">
        <f t="shared" ca="1" si="30"/>
        <v>-0.93621265793895692</v>
      </c>
      <c r="E227" s="26" t="s">
        <v>676</v>
      </c>
      <c r="F227" s="11">
        <f t="shared" ca="1" si="31"/>
        <v>1</v>
      </c>
      <c r="K227" s="15" t="s">
        <v>976</v>
      </c>
      <c r="L227" s="16">
        <v>170</v>
      </c>
      <c r="M227" s="28">
        <f t="shared" ca="1" si="27"/>
        <v>138</v>
      </c>
      <c r="N227" s="28">
        <f t="shared" ca="1" si="28"/>
        <v>158</v>
      </c>
      <c r="O227" s="42">
        <f t="shared" ca="1" si="32"/>
        <v>0</v>
      </c>
    </row>
    <row r="228" spans="2:15" x14ac:dyDescent="0.25">
      <c r="B228" s="22" t="s">
        <v>380</v>
      </c>
      <c r="C228" s="19">
        <f t="shared" ca="1" si="29"/>
        <v>-1.7115768990690583</v>
      </c>
      <c r="D228" s="19">
        <f t="shared" ca="1" si="30"/>
        <v>-1.7115768990690583</v>
      </c>
      <c r="E228" s="26" t="s">
        <v>677</v>
      </c>
      <c r="F228" s="11">
        <f t="shared" ca="1" si="31"/>
        <v>1</v>
      </c>
      <c r="K228" s="15" t="s">
        <v>977</v>
      </c>
      <c r="L228" s="16">
        <v>145</v>
      </c>
      <c r="M228" s="28">
        <f t="shared" ca="1" si="27"/>
        <v>138</v>
      </c>
      <c r="N228" s="28">
        <f t="shared" ca="1" si="28"/>
        <v>158</v>
      </c>
      <c r="O228" s="42">
        <f t="shared" ca="1" si="32"/>
        <v>1</v>
      </c>
    </row>
    <row r="229" spans="2:15" x14ac:dyDescent="0.25">
      <c r="B229" s="22" t="s">
        <v>381</v>
      </c>
      <c r="C229" s="19">
        <f t="shared" ca="1" si="29"/>
        <v>7.7805167228597497E-2</v>
      </c>
      <c r="D229" s="19">
        <f t="shared" ca="1" si="30"/>
        <v>7.7805167228597497E-2</v>
      </c>
      <c r="E229" s="26" t="s">
        <v>678</v>
      </c>
      <c r="F229" s="11">
        <f t="shared" ca="1" si="31"/>
        <v>0</v>
      </c>
      <c r="K229" s="15" t="s">
        <v>978</v>
      </c>
      <c r="L229" s="16">
        <v>155</v>
      </c>
      <c r="M229" s="28">
        <f t="shared" ca="1" si="27"/>
        <v>138</v>
      </c>
      <c r="N229" s="28">
        <f t="shared" ca="1" si="28"/>
        <v>158</v>
      </c>
      <c r="O229" s="42">
        <f t="shared" ca="1" si="32"/>
        <v>1</v>
      </c>
    </row>
    <row r="230" spans="2:15" x14ac:dyDescent="0.25">
      <c r="B230" s="22" t="s">
        <v>382</v>
      </c>
      <c r="C230" s="19">
        <f t="shared" ca="1" si="29"/>
        <v>1.0215918790929588</v>
      </c>
      <c r="D230" s="19">
        <f t="shared" ca="1" si="30"/>
        <v>1.0215918790929588</v>
      </c>
      <c r="E230" s="26" t="s">
        <v>679</v>
      </c>
      <c r="F230" s="11">
        <f t="shared" ca="1" si="31"/>
        <v>0</v>
      </c>
      <c r="K230" s="15" t="s">
        <v>979</v>
      </c>
      <c r="L230" s="16">
        <v>158</v>
      </c>
      <c r="M230" s="28">
        <f t="shared" ca="1" si="27"/>
        <v>138</v>
      </c>
      <c r="N230" s="28">
        <f t="shared" ca="1" si="28"/>
        <v>158</v>
      </c>
      <c r="O230" s="42">
        <f t="shared" ca="1" si="32"/>
        <v>1</v>
      </c>
    </row>
    <row r="231" spans="2:15" x14ac:dyDescent="0.25">
      <c r="B231" s="22" t="s">
        <v>383</v>
      </c>
      <c r="C231" s="19">
        <f t="shared" ca="1" si="29"/>
        <v>0.82403019381311748</v>
      </c>
      <c r="D231" s="19">
        <f t="shared" ca="1" si="30"/>
        <v>0.82403019381311748</v>
      </c>
      <c r="E231" s="26" t="s">
        <v>680</v>
      </c>
      <c r="F231" s="11">
        <f t="shared" ca="1" si="31"/>
        <v>0</v>
      </c>
      <c r="K231" s="15" t="s">
        <v>980</v>
      </c>
      <c r="L231" s="16">
        <v>150</v>
      </c>
      <c r="M231" s="28">
        <f t="shared" ca="1" si="27"/>
        <v>138</v>
      </c>
      <c r="N231" s="28">
        <f t="shared" ca="1" si="28"/>
        <v>158</v>
      </c>
      <c r="O231" s="42">
        <f t="shared" ca="1" si="32"/>
        <v>1</v>
      </c>
    </row>
    <row r="232" spans="2:15" x14ac:dyDescent="0.25">
      <c r="B232" s="22" t="s">
        <v>384</v>
      </c>
      <c r="C232" s="19">
        <f t="shared" ca="1" si="29"/>
        <v>0.49325215737467065</v>
      </c>
      <c r="D232" s="19">
        <f t="shared" ca="1" si="30"/>
        <v>0.49325215737467065</v>
      </c>
      <c r="E232" s="26" t="s">
        <v>681</v>
      </c>
      <c r="F232" s="11">
        <f t="shared" ca="1" si="31"/>
        <v>0</v>
      </c>
      <c r="K232" s="15" t="s">
        <v>981</v>
      </c>
      <c r="L232" s="16">
        <v>141</v>
      </c>
      <c r="M232" s="28">
        <f t="shared" ca="1" si="27"/>
        <v>138</v>
      </c>
      <c r="N232" s="28">
        <f t="shared" ca="1" si="28"/>
        <v>158</v>
      </c>
      <c r="O232" s="42">
        <f t="shared" ca="1" si="32"/>
        <v>1</v>
      </c>
    </row>
    <row r="233" spans="2:15" x14ac:dyDescent="0.25">
      <c r="B233" s="22" t="s">
        <v>385</v>
      </c>
      <c r="C233" s="19">
        <f t="shared" ca="1" si="29"/>
        <v>0.57196303782025071</v>
      </c>
      <c r="D233" s="19">
        <f t="shared" ca="1" si="30"/>
        <v>0.57196303782025071</v>
      </c>
      <c r="E233" s="26" t="s">
        <v>682</v>
      </c>
      <c r="F233" s="11">
        <f t="shared" ca="1" si="31"/>
        <v>0</v>
      </c>
      <c r="K233" s="15" t="s">
        <v>982</v>
      </c>
      <c r="L233" s="16">
        <v>153</v>
      </c>
      <c r="M233" s="28">
        <f t="shared" ca="1" si="27"/>
        <v>138</v>
      </c>
      <c r="N233" s="28">
        <f t="shared" ca="1" si="28"/>
        <v>158</v>
      </c>
      <c r="O233" s="42">
        <f t="shared" ca="1" si="32"/>
        <v>1</v>
      </c>
    </row>
    <row r="234" spans="2:15" x14ac:dyDescent="0.25">
      <c r="B234" s="22" t="s">
        <v>386</v>
      </c>
      <c r="C234" s="19">
        <f t="shared" ca="1" si="29"/>
        <v>0.24739816615351551</v>
      </c>
      <c r="D234" s="19">
        <f t="shared" ca="1" si="30"/>
        <v>0.24739816615351551</v>
      </c>
      <c r="E234" s="26" t="s">
        <v>683</v>
      </c>
      <c r="F234" s="11">
        <f t="shared" ca="1" si="31"/>
        <v>0</v>
      </c>
      <c r="K234" s="15" t="s">
        <v>983</v>
      </c>
      <c r="L234" s="16">
        <v>153</v>
      </c>
      <c r="M234" s="28">
        <f t="shared" ca="1" si="27"/>
        <v>138</v>
      </c>
      <c r="N234" s="28">
        <f t="shared" ca="1" si="28"/>
        <v>158</v>
      </c>
      <c r="O234" s="42">
        <f t="shared" ca="1" si="32"/>
        <v>1</v>
      </c>
    </row>
    <row r="235" spans="2:15" x14ac:dyDescent="0.25">
      <c r="B235" s="22" t="s">
        <v>387</v>
      </c>
      <c r="C235" s="19">
        <f t="shared" ca="1" si="29"/>
        <v>-7.3727337151417688E-2</v>
      </c>
      <c r="D235" s="19">
        <f t="shared" ca="1" si="30"/>
        <v>-7.3727337151417688E-2</v>
      </c>
      <c r="E235" s="26" t="s">
        <v>684</v>
      </c>
      <c r="F235" s="11">
        <f t="shared" ca="1" si="31"/>
        <v>1</v>
      </c>
      <c r="K235" s="15" t="s">
        <v>984</v>
      </c>
      <c r="L235" s="16">
        <v>156</v>
      </c>
      <c r="M235" s="28">
        <f t="shared" ca="1" si="27"/>
        <v>138</v>
      </c>
      <c r="N235" s="28">
        <f t="shared" ca="1" si="28"/>
        <v>158</v>
      </c>
      <c r="O235" s="42">
        <f t="shared" ca="1" si="32"/>
        <v>1</v>
      </c>
    </row>
    <row r="236" spans="2:15" x14ac:dyDescent="0.25">
      <c r="B236" s="22" t="s">
        <v>388</v>
      </c>
      <c r="C236" s="19">
        <f t="shared" ca="1" si="29"/>
        <v>1.2436268574441574</v>
      </c>
      <c r="D236" s="19">
        <f t="shared" ca="1" si="30"/>
        <v>1.2436268574441574</v>
      </c>
      <c r="E236" s="26" t="s">
        <v>685</v>
      </c>
      <c r="F236" s="11">
        <f t="shared" ca="1" si="31"/>
        <v>0</v>
      </c>
      <c r="K236" s="15" t="s">
        <v>985</v>
      </c>
      <c r="L236" s="16">
        <v>132</v>
      </c>
      <c r="M236" s="28">
        <f t="shared" ca="1" si="27"/>
        <v>138</v>
      </c>
      <c r="N236" s="28">
        <f t="shared" ca="1" si="28"/>
        <v>158</v>
      </c>
      <c r="O236" s="42">
        <f t="shared" ca="1" si="32"/>
        <v>0</v>
      </c>
    </row>
    <row r="237" spans="2:15" x14ac:dyDescent="0.25">
      <c r="B237" s="22" t="s">
        <v>389</v>
      </c>
      <c r="C237" s="19">
        <f t="shared" ca="1" si="29"/>
        <v>-0.98942796456583992</v>
      </c>
      <c r="D237" s="19">
        <f t="shared" ca="1" si="30"/>
        <v>-0.98942796456583992</v>
      </c>
      <c r="E237" s="26" t="s">
        <v>686</v>
      </c>
      <c r="F237" s="11">
        <f t="shared" ca="1" si="31"/>
        <v>1</v>
      </c>
      <c r="K237" s="15" t="s">
        <v>986</v>
      </c>
      <c r="L237" s="16">
        <v>152</v>
      </c>
      <c r="M237" s="28">
        <f t="shared" ca="1" si="27"/>
        <v>138</v>
      </c>
      <c r="N237" s="28">
        <f t="shared" ca="1" si="28"/>
        <v>158</v>
      </c>
      <c r="O237" s="42">
        <f t="shared" ca="1" si="32"/>
        <v>1</v>
      </c>
    </row>
    <row r="238" spans="2:15" x14ac:dyDescent="0.25">
      <c r="B238" s="22" t="s">
        <v>390</v>
      </c>
      <c r="C238" s="19">
        <f t="shared" ca="1" si="29"/>
        <v>-0.66952150008331857</v>
      </c>
      <c r="D238" s="19">
        <f t="shared" ca="1" si="30"/>
        <v>-0.66952150008331857</v>
      </c>
      <c r="E238" s="26" t="s">
        <v>687</v>
      </c>
      <c r="F238" s="11">
        <f t="shared" ca="1" si="31"/>
        <v>1</v>
      </c>
      <c r="K238" s="15" t="s">
        <v>987</v>
      </c>
      <c r="L238" s="16">
        <v>156</v>
      </c>
      <c r="M238" s="28">
        <f t="shared" ca="1" si="27"/>
        <v>138</v>
      </c>
      <c r="N238" s="28">
        <f t="shared" ca="1" si="28"/>
        <v>158</v>
      </c>
      <c r="O238" s="42">
        <f t="shared" ca="1" si="32"/>
        <v>1</v>
      </c>
    </row>
    <row r="239" spans="2:15" x14ac:dyDescent="0.25">
      <c r="B239" s="22" t="s">
        <v>391</v>
      </c>
      <c r="C239" s="19">
        <f t="shared" ca="1" si="29"/>
        <v>1.7267782490249763</v>
      </c>
      <c r="D239" s="19">
        <f t="shared" ca="1" si="30"/>
        <v>1.7267782490249763</v>
      </c>
      <c r="E239" s="26" t="s">
        <v>688</v>
      </c>
      <c r="F239" s="11">
        <f t="shared" ca="1" si="31"/>
        <v>0</v>
      </c>
      <c r="K239" s="15" t="s">
        <v>988</v>
      </c>
      <c r="L239" s="16">
        <v>169</v>
      </c>
      <c r="M239" s="28">
        <f t="shared" ca="1" si="27"/>
        <v>138</v>
      </c>
      <c r="N239" s="28">
        <f t="shared" ca="1" si="28"/>
        <v>158</v>
      </c>
      <c r="O239" s="42">
        <f t="shared" ca="1" si="32"/>
        <v>0</v>
      </c>
    </row>
    <row r="240" spans="2:15" x14ac:dyDescent="0.25">
      <c r="B240" s="22" t="s">
        <v>392</v>
      </c>
      <c r="C240" s="19">
        <f t="shared" ca="1" si="29"/>
        <v>-0.40001897783734852</v>
      </c>
      <c r="D240" s="19">
        <f t="shared" ca="1" si="30"/>
        <v>-0.40001897783734852</v>
      </c>
      <c r="E240" s="26" t="s">
        <v>689</v>
      </c>
      <c r="F240" s="11">
        <f t="shared" ca="1" si="31"/>
        <v>1</v>
      </c>
      <c r="K240" s="15" t="s">
        <v>989</v>
      </c>
      <c r="L240" s="16">
        <v>146</v>
      </c>
      <c r="M240" s="28">
        <f t="shared" ca="1" si="27"/>
        <v>138</v>
      </c>
      <c r="N240" s="28">
        <f t="shared" ca="1" si="28"/>
        <v>158</v>
      </c>
      <c r="O240" s="42">
        <f t="shared" ca="1" si="32"/>
        <v>1</v>
      </c>
    </row>
    <row r="241" spans="2:15" x14ac:dyDescent="0.25">
      <c r="B241" s="22" t="s">
        <v>393</v>
      </c>
      <c r="C241" s="19">
        <f t="shared" ca="1" si="29"/>
        <v>-0.13625037645320492</v>
      </c>
      <c r="D241" s="19">
        <f t="shared" ca="1" si="30"/>
        <v>-0.13625037645320492</v>
      </c>
      <c r="E241" s="26" t="s">
        <v>690</v>
      </c>
      <c r="F241" s="11">
        <f t="shared" ca="1" si="31"/>
        <v>1</v>
      </c>
      <c r="K241" s="15" t="s">
        <v>990</v>
      </c>
      <c r="L241" s="16">
        <v>130</v>
      </c>
      <c r="M241" s="28">
        <f t="shared" ca="1" si="27"/>
        <v>138</v>
      </c>
      <c r="N241" s="28">
        <f t="shared" ca="1" si="28"/>
        <v>158</v>
      </c>
      <c r="O241" s="42">
        <f t="shared" ca="1" si="32"/>
        <v>0</v>
      </c>
    </row>
    <row r="242" spans="2:15" x14ac:dyDescent="0.25">
      <c r="B242" s="22" t="s">
        <v>394</v>
      </c>
      <c r="C242" s="19">
        <f t="shared" ca="1" si="29"/>
        <v>-0.87801695499867161</v>
      </c>
      <c r="D242" s="19">
        <f t="shared" ca="1" si="30"/>
        <v>-0.87801695499867161</v>
      </c>
      <c r="E242" s="26" t="s">
        <v>691</v>
      </c>
      <c r="F242" s="11">
        <f t="shared" ca="1" si="31"/>
        <v>1</v>
      </c>
      <c r="K242" s="15" t="s">
        <v>991</v>
      </c>
      <c r="L242" s="16">
        <v>159</v>
      </c>
      <c r="M242" s="28">
        <f t="shared" ca="1" si="27"/>
        <v>138</v>
      </c>
      <c r="N242" s="28">
        <f t="shared" ca="1" si="28"/>
        <v>158</v>
      </c>
      <c r="O242" s="42">
        <f t="shared" ca="1" si="32"/>
        <v>0</v>
      </c>
    </row>
    <row r="243" spans="2:15" x14ac:dyDescent="0.25">
      <c r="B243" s="22" t="s">
        <v>395</v>
      </c>
      <c r="C243" s="19">
        <f t="shared" ca="1" si="29"/>
        <v>0.78979463665297989</v>
      </c>
      <c r="D243" s="19">
        <f t="shared" ca="1" si="30"/>
        <v>0.78979463665297989</v>
      </c>
      <c r="E243" s="26" t="s">
        <v>692</v>
      </c>
      <c r="F243" s="11">
        <f t="shared" ca="1" si="31"/>
        <v>0</v>
      </c>
      <c r="K243" s="15" t="s">
        <v>992</v>
      </c>
      <c r="L243" s="16">
        <v>149</v>
      </c>
      <c r="M243" s="28">
        <f t="shared" ca="1" si="27"/>
        <v>138</v>
      </c>
      <c r="N243" s="28">
        <f t="shared" ca="1" si="28"/>
        <v>158</v>
      </c>
      <c r="O243" s="42">
        <f t="shared" ca="1" si="32"/>
        <v>1</v>
      </c>
    </row>
    <row r="244" spans="2:15" x14ac:dyDescent="0.25">
      <c r="B244" s="22" t="s">
        <v>396</v>
      </c>
      <c r="C244" s="19">
        <f t="shared" ca="1" si="29"/>
        <v>-0.1149927095311493</v>
      </c>
      <c r="D244" s="19">
        <f t="shared" ca="1" si="30"/>
        <v>-0.1149927095311493</v>
      </c>
      <c r="E244" s="26" t="s">
        <v>693</v>
      </c>
      <c r="F244" s="11">
        <f t="shared" ca="1" si="31"/>
        <v>1</v>
      </c>
      <c r="K244" s="15" t="s">
        <v>993</v>
      </c>
      <c r="L244" s="16">
        <v>144</v>
      </c>
      <c r="M244" s="28">
        <f t="shared" ca="1" si="27"/>
        <v>138</v>
      </c>
      <c r="N244" s="28">
        <f t="shared" ca="1" si="28"/>
        <v>158</v>
      </c>
      <c r="O244" s="42">
        <f t="shared" ca="1" si="32"/>
        <v>1</v>
      </c>
    </row>
    <row r="245" spans="2:15" x14ac:dyDescent="0.25">
      <c r="B245" s="22" t="s">
        <v>397</v>
      </c>
      <c r="C245" s="19">
        <f t="shared" ca="1" si="29"/>
        <v>0.3230082180558711</v>
      </c>
      <c r="D245" s="19">
        <f t="shared" ca="1" si="30"/>
        <v>0.3230082180558711</v>
      </c>
      <c r="E245" s="26" t="s">
        <v>694</v>
      </c>
      <c r="F245" s="11">
        <f t="shared" ca="1" si="31"/>
        <v>0</v>
      </c>
      <c r="K245" s="15" t="s">
        <v>994</v>
      </c>
      <c r="L245" s="16">
        <v>147</v>
      </c>
      <c r="M245" s="28">
        <f t="shared" ca="1" si="27"/>
        <v>138</v>
      </c>
      <c r="N245" s="28">
        <f t="shared" ca="1" si="28"/>
        <v>158</v>
      </c>
      <c r="O245" s="42">
        <f t="shared" ca="1" si="32"/>
        <v>1</v>
      </c>
    </row>
    <row r="246" spans="2:15" x14ac:dyDescent="0.25">
      <c r="B246" s="22" t="s">
        <v>398</v>
      </c>
      <c r="C246" s="19">
        <f t="shared" ca="1" si="29"/>
        <v>-0.78527745390954529</v>
      </c>
      <c r="D246" s="19">
        <f t="shared" ca="1" si="30"/>
        <v>-0.78527745390954529</v>
      </c>
      <c r="E246" s="26" t="s">
        <v>695</v>
      </c>
      <c r="F246" s="11">
        <f t="shared" ca="1" si="31"/>
        <v>1</v>
      </c>
      <c r="K246" s="15" t="s">
        <v>995</v>
      </c>
      <c r="L246" s="16">
        <v>140</v>
      </c>
      <c r="M246" s="28">
        <f t="shared" ca="1" si="27"/>
        <v>138</v>
      </c>
      <c r="N246" s="28">
        <f t="shared" ca="1" si="28"/>
        <v>158</v>
      </c>
      <c r="O246" s="42">
        <f t="shared" ca="1" si="32"/>
        <v>1</v>
      </c>
    </row>
    <row r="247" spans="2:15" x14ac:dyDescent="0.25">
      <c r="B247" s="22" t="s">
        <v>399</v>
      </c>
      <c r="C247" s="19">
        <f t="shared" ca="1" si="29"/>
        <v>-0.87062627384874092</v>
      </c>
      <c r="D247" s="19">
        <f t="shared" ca="1" si="30"/>
        <v>-0.87062627384874092</v>
      </c>
      <c r="E247" s="26" t="s">
        <v>696</v>
      </c>
      <c r="F247" s="11">
        <f t="shared" ca="1" si="31"/>
        <v>1</v>
      </c>
      <c r="K247" s="15" t="s">
        <v>996</v>
      </c>
      <c r="L247" s="16">
        <v>156</v>
      </c>
      <c r="M247" s="28">
        <f t="shared" ca="1" si="27"/>
        <v>138</v>
      </c>
      <c r="N247" s="28">
        <f t="shared" ca="1" si="28"/>
        <v>158</v>
      </c>
      <c r="O247" s="42">
        <f t="shared" ca="1" si="32"/>
        <v>1</v>
      </c>
    </row>
    <row r="248" spans="2:15" x14ac:dyDescent="0.25">
      <c r="B248" s="22" t="s">
        <v>400</v>
      </c>
      <c r="C248" s="19">
        <f t="shared" ca="1" si="29"/>
        <v>-0.95834797870481714</v>
      </c>
      <c r="D248" s="19">
        <f t="shared" ca="1" si="30"/>
        <v>-0.95834797870481714</v>
      </c>
      <c r="E248" s="26" t="s">
        <v>697</v>
      </c>
      <c r="F248" s="11">
        <f t="shared" ca="1" si="31"/>
        <v>1</v>
      </c>
      <c r="K248" s="15" t="s">
        <v>997</v>
      </c>
      <c r="L248" s="16">
        <v>145</v>
      </c>
      <c r="M248" s="28">
        <f t="shared" ca="1" si="27"/>
        <v>138</v>
      </c>
      <c r="N248" s="28">
        <f t="shared" ca="1" si="28"/>
        <v>158</v>
      </c>
      <c r="O248" s="42">
        <f t="shared" ca="1" si="32"/>
        <v>1</v>
      </c>
    </row>
    <row r="249" spans="2:15" x14ac:dyDescent="0.25">
      <c r="B249" s="22" t="s">
        <v>401</v>
      </c>
      <c r="C249" s="19">
        <f t="shared" ca="1" si="29"/>
        <v>-0.98681740406713625</v>
      </c>
      <c r="D249" s="19">
        <f t="shared" ca="1" si="30"/>
        <v>-0.98681740406713625</v>
      </c>
      <c r="E249" s="26" t="s">
        <v>698</v>
      </c>
      <c r="F249" s="11">
        <f t="shared" ca="1" si="31"/>
        <v>1</v>
      </c>
      <c r="K249" s="15" t="s">
        <v>998</v>
      </c>
      <c r="L249" s="16">
        <v>141</v>
      </c>
      <c r="M249" s="28">
        <f t="shared" ca="1" si="27"/>
        <v>138</v>
      </c>
      <c r="N249" s="28">
        <f t="shared" ca="1" si="28"/>
        <v>158</v>
      </c>
      <c r="O249" s="42">
        <f t="shared" ca="1" si="32"/>
        <v>1</v>
      </c>
    </row>
    <row r="250" spans="2:15" x14ac:dyDescent="0.25">
      <c r="B250" s="22" t="s">
        <v>402</v>
      </c>
      <c r="C250" s="19">
        <f t="shared" ca="1" si="29"/>
        <v>-0.41826533987493042</v>
      </c>
      <c r="D250" s="19">
        <f t="shared" ca="1" si="30"/>
        <v>-0.41826533987493042</v>
      </c>
      <c r="E250" s="26" t="s">
        <v>699</v>
      </c>
      <c r="F250" s="11">
        <f t="shared" ca="1" si="31"/>
        <v>1</v>
      </c>
      <c r="K250" s="15" t="s">
        <v>999</v>
      </c>
      <c r="L250" s="16">
        <v>136</v>
      </c>
      <c r="M250" s="28">
        <f t="shared" ca="1" si="27"/>
        <v>138</v>
      </c>
      <c r="N250" s="28">
        <f t="shared" ca="1" si="28"/>
        <v>158</v>
      </c>
      <c r="O250" s="42">
        <f t="shared" ca="1" si="32"/>
        <v>0</v>
      </c>
    </row>
    <row r="251" spans="2:15" x14ac:dyDescent="0.25">
      <c r="B251" s="22" t="s">
        <v>403</v>
      </c>
      <c r="C251" s="19">
        <f t="shared" ca="1" si="29"/>
        <v>-0.36890655168800707</v>
      </c>
      <c r="D251" s="19">
        <f t="shared" ca="1" si="30"/>
        <v>-0.36890655168800707</v>
      </c>
      <c r="E251" s="26" t="s">
        <v>700</v>
      </c>
      <c r="F251" s="11">
        <f t="shared" ca="1" si="31"/>
        <v>1</v>
      </c>
      <c r="K251" s="15" t="s">
        <v>1000</v>
      </c>
      <c r="L251" s="16">
        <v>152</v>
      </c>
      <c r="M251" s="28">
        <f t="shared" ca="1" si="27"/>
        <v>138</v>
      </c>
      <c r="N251" s="28">
        <f t="shared" ca="1" si="28"/>
        <v>158</v>
      </c>
      <c r="O251" s="42">
        <f t="shared" ca="1" si="32"/>
        <v>1</v>
      </c>
    </row>
    <row r="252" spans="2:15" x14ac:dyDescent="0.25">
      <c r="B252" s="22" t="s">
        <v>404</v>
      </c>
      <c r="C252" s="19">
        <f t="shared" ca="1" si="29"/>
        <v>-4.3772714843072227E-2</v>
      </c>
      <c r="D252" s="19">
        <f t="shared" ca="1" si="30"/>
        <v>-4.3772714843072227E-2</v>
      </c>
      <c r="E252" s="26" t="s">
        <v>701</v>
      </c>
      <c r="F252" s="11">
        <f t="shared" ca="1" si="31"/>
        <v>1</v>
      </c>
      <c r="K252" s="15" t="s">
        <v>1001</v>
      </c>
      <c r="L252" s="16">
        <v>152</v>
      </c>
      <c r="M252" s="28">
        <f t="shared" ca="1" si="27"/>
        <v>138</v>
      </c>
      <c r="N252" s="28">
        <f t="shared" ca="1" si="28"/>
        <v>158</v>
      </c>
      <c r="O252" s="42">
        <f t="shared" ca="1" si="32"/>
        <v>1</v>
      </c>
    </row>
    <row r="253" spans="2:15" x14ac:dyDescent="0.25">
      <c r="B253" s="22" t="s">
        <v>405</v>
      </c>
      <c r="C253" s="19">
        <f t="shared" ca="1" si="29"/>
        <v>-1.6954749077666225</v>
      </c>
      <c r="D253" s="19">
        <f t="shared" ca="1" si="30"/>
        <v>-1.6954749077666225</v>
      </c>
      <c r="E253" s="26" t="s">
        <v>702</v>
      </c>
      <c r="F253" s="11">
        <f t="shared" ca="1" si="31"/>
        <v>1</v>
      </c>
      <c r="K253" s="15" t="s">
        <v>1002</v>
      </c>
      <c r="L253" s="16">
        <v>155</v>
      </c>
      <c r="M253" s="28">
        <f t="shared" ca="1" si="27"/>
        <v>138</v>
      </c>
      <c r="N253" s="28">
        <f t="shared" ca="1" si="28"/>
        <v>158</v>
      </c>
      <c r="O253" s="42">
        <f t="shared" ca="1" si="32"/>
        <v>1</v>
      </c>
    </row>
    <row r="254" spans="2:15" x14ac:dyDescent="0.25">
      <c r="B254" s="22" t="s">
        <v>406</v>
      </c>
      <c r="C254" s="19">
        <f t="shared" ca="1" si="29"/>
        <v>8.4180242708783479E-2</v>
      </c>
      <c r="D254" s="19">
        <f t="shared" ca="1" si="30"/>
        <v>8.4180242708783479E-2</v>
      </c>
      <c r="E254" s="26" t="s">
        <v>703</v>
      </c>
      <c r="F254" s="11">
        <f t="shared" ca="1" si="31"/>
        <v>0</v>
      </c>
      <c r="K254" s="15" t="s">
        <v>1003</v>
      </c>
      <c r="L254" s="16">
        <v>153</v>
      </c>
      <c r="M254" s="28">
        <f t="shared" ca="1" si="27"/>
        <v>138</v>
      </c>
      <c r="N254" s="28">
        <f t="shared" ca="1" si="28"/>
        <v>158</v>
      </c>
      <c r="O254" s="42">
        <f t="shared" ca="1" si="32"/>
        <v>1</v>
      </c>
    </row>
    <row r="255" spans="2:15" x14ac:dyDescent="0.25">
      <c r="B255" s="22" t="s">
        <v>407</v>
      </c>
      <c r="C255" s="19">
        <f t="shared" ca="1" si="29"/>
        <v>-1.5331338629845912</v>
      </c>
      <c r="D255" s="19">
        <f t="shared" ca="1" si="30"/>
        <v>-1.5331338629845912</v>
      </c>
      <c r="E255" s="26" t="s">
        <v>704</v>
      </c>
      <c r="F255" s="11">
        <f t="shared" ca="1" si="31"/>
        <v>1</v>
      </c>
      <c r="K255" s="15" t="s">
        <v>1004</v>
      </c>
      <c r="L255" s="16">
        <v>135</v>
      </c>
      <c r="M255" s="28">
        <f t="shared" ca="1" si="27"/>
        <v>138</v>
      </c>
      <c r="N255" s="28">
        <f t="shared" ca="1" si="28"/>
        <v>158</v>
      </c>
      <c r="O255" s="42">
        <f t="shared" ca="1" si="32"/>
        <v>0</v>
      </c>
    </row>
    <row r="256" spans="2:15" x14ac:dyDescent="0.25">
      <c r="B256" s="22" t="s">
        <v>408</v>
      </c>
      <c r="C256" s="19">
        <f t="shared" ca="1" si="29"/>
        <v>0.76413136904579848</v>
      </c>
      <c r="D256" s="19">
        <f t="shared" ca="1" si="30"/>
        <v>0.76413136904579848</v>
      </c>
      <c r="E256" s="26" t="s">
        <v>705</v>
      </c>
      <c r="F256" s="11">
        <f t="shared" ca="1" si="31"/>
        <v>0</v>
      </c>
      <c r="K256" s="15" t="s">
        <v>1005</v>
      </c>
      <c r="L256" s="16">
        <v>149</v>
      </c>
      <c r="M256" s="28">
        <f t="shared" ca="1" si="27"/>
        <v>138</v>
      </c>
      <c r="N256" s="28">
        <f t="shared" ca="1" si="28"/>
        <v>158</v>
      </c>
      <c r="O256" s="42">
        <f t="shared" ca="1" si="32"/>
        <v>1</v>
      </c>
    </row>
    <row r="257" spans="2:15" x14ac:dyDescent="0.25">
      <c r="B257" s="22" t="s">
        <v>409</v>
      </c>
      <c r="C257" s="19">
        <f t="shared" ca="1" si="29"/>
        <v>0.8353316483195885</v>
      </c>
      <c r="D257" s="19">
        <f t="shared" ca="1" si="30"/>
        <v>0.8353316483195885</v>
      </c>
      <c r="E257" s="26" t="s">
        <v>706</v>
      </c>
      <c r="F257" s="11">
        <f t="shared" ca="1" si="31"/>
        <v>0</v>
      </c>
      <c r="K257" s="15" t="s">
        <v>1006</v>
      </c>
      <c r="L257" s="16">
        <v>153</v>
      </c>
      <c r="M257" s="28">
        <f t="shared" ca="1" si="27"/>
        <v>138</v>
      </c>
      <c r="N257" s="28">
        <f t="shared" ca="1" si="28"/>
        <v>158</v>
      </c>
      <c r="O257" s="42">
        <f t="shared" ca="1" si="32"/>
        <v>1</v>
      </c>
    </row>
    <row r="258" spans="2:15" x14ac:dyDescent="0.25">
      <c r="B258" s="22" t="s">
        <v>410</v>
      </c>
      <c r="C258" s="19">
        <f t="shared" ca="1" si="29"/>
        <v>-0.42746748713772853</v>
      </c>
      <c r="D258" s="19">
        <f t="shared" ca="1" si="30"/>
        <v>-0.42746748713772853</v>
      </c>
      <c r="E258" s="26" t="s">
        <v>707</v>
      </c>
      <c r="F258" s="11">
        <f t="shared" ca="1" si="31"/>
        <v>1</v>
      </c>
      <c r="K258" s="15" t="s">
        <v>1007</v>
      </c>
      <c r="L258" s="16">
        <v>157</v>
      </c>
      <c r="M258" s="28">
        <f t="shared" ca="1" si="27"/>
        <v>138</v>
      </c>
      <c r="N258" s="28">
        <f t="shared" ca="1" si="28"/>
        <v>158</v>
      </c>
      <c r="O258" s="42">
        <f t="shared" ca="1" si="32"/>
        <v>1</v>
      </c>
    </row>
    <row r="259" spans="2:15" x14ac:dyDescent="0.25">
      <c r="B259" s="22" t="s">
        <v>411</v>
      </c>
      <c r="C259" s="19">
        <f t="shared" ca="1" si="29"/>
        <v>-0.83672924417120853</v>
      </c>
      <c r="D259" s="19">
        <f t="shared" ca="1" si="30"/>
        <v>-0.83672924417120853</v>
      </c>
      <c r="E259" s="26" t="s">
        <v>708</v>
      </c>
      <c r="F259" s="11">
        <f t="shared" ca="1" si="31"/>
        <v>1</v>
      </c>
      <c r="K259" s="15" t="s">
        <v>1008</v>
      </c>
      <c r="L259" s="16">
        <v>141</v>
      </c>
      <c r="M259" s="28">
        <f t="shared" ca="1" si="27"/>
        <v>138</v>
      </c>
      <c r="N259" s="28">
        <f t="shared" ca="1" si="28"/>
        <v>158</v>
      </c>
      <c r="O259" s="42">
        <f t="shared" ca="1" si="32"/>
        <v>1</v>
      </c>
    </row>
    <row r="260" spans="2:15" x14ac:dyDescent="0.25">
      <c r="B260" s="22" t="s">
        <v>412</v>
      </c>
      <c r="C260" s="19">
        <f t="shared" ca="1" si="29"/>
        <v>-1.6644867659815699</v>
      </c>
      <c r="D260" s="19">
        <f t="shared" ca="1" si="30"/>
        <v>-1.6644867659815699</v>
      </c>
      <c r="E260" s="26" t="s">
        <v>709</v>
      </c>
      <c r="F260" s="11">
        <f t="shared" ca="1" si="31"/>
        <v>1</v>
      </c>
      <c r="K260" s="15" t="s">
        <v>1009</v>
      </c>
      <c r="L260" s="16">
        <v>141</v>
      </c>
      <c r="M260" s="28">
        <f t="shared" ca="1" si="27"/>
        <v>138</v>
      </c>
      <c r="N260" s="28">
        <f t="shared" ca="1" si="28"/>
        <v>158</v>
      </c>
      <c r="O260" s="42">
        <f t="shared" ca="1" si="32"/>
        <v>1</v>
      </c>
    </row>
    <row r="261" spans="2:15" x14ac:dyDescent="0.25">
      <c r="B261" s="22" t="s">
        <v>413</v>
      </c>
      <c r="C261" s="19">
        <f t="shared" ca="1" si="29"/>
        <v>-1.3109031144650141</v>
      </c>
      <c r="D261" s="19">
        <f t="shared" ca="1" si="30"/>
        <v>-1.3109031144650141</v>
      </c>
      <c r="E261" s="26" t="s">
        <v>710</v>
      </c>
      <c r="F261" s="11">
        <f t="shared" ca="1" si="31"/>
        <v>1</v>
      </c>
      <c r="K261" s="15" t="s">
        <v>1010</v>
      </c>
      <c r="L261" s="16">
        <v>143</v>
      </c>
      <c r="M261" s="28">
        <f t="shared" ca="1" si="27"/>
        <v>138</v>
      </c>
      <c r="N261" s="28">
        <f t="shared" ca="1" si="28"/>
        <v>158</v>
      </c>
      <c r="O261" s="42">
        <f t="shared" ca="1" si="32"/>
        <v>1</v>
      </c>
    </row>
    <row r="262" spans="2:15" x14ac:dyDescent="0.25">
      <c r="B262" s="22" t="s">
        <v>414</v>
      </c>
      <c r="C262" s="19">
        <f t="shared" ca="1" si="29"/>
        <v>0.54402231645323884</v>
      </c>
      <c r="D262" s="19">
        <f t="shared" ca="1" si="30"/>
        <v>0.54402231645323884</v>
      </c>
      <c r="E262" s="26" t="s">
        <v>711</v>
      </c>
      <c r="F262" s="11">
        <f t="shared" ca="1" si="31"/>
        <v>0</v>
      </c>
      <c r="K262" s="15" t="s">
        <v>1011</v>
      </c>
      <c r="L262" s="16">
        <v>161</v>
      </c>
      <c r="M262" s="28">
        <f t="shared" ca="1" si="27"/>
        <v>138</v>
      </c>
      <c r="N262" s="28">
        <f t="shared" ca="1" si="28"/>
        <v>158</v>
      </c>
      <c r="O262" s="42">
        <f t="shared" ca="1" si="32"/>
        <v>0</v>
      </c>
    </row>
    <row r="263" spans="2:15" x14ac:dyDescent="0.25">
      <c r="B263" s="22" t="s">
        <v>415</v>
      </c>
      <c r="C263" s="19">
        <f t="shared" ca="1" si="29"/>
        <v>-0.67792261220504468</v>
      </c>
      <c r="D263" s="19">
        <f t="shared" ca="1" si="30"/>
        <v>-0.67792261220504468</v>
      </c>
      <c r="E263" s="26" t="s">
        <v>712</v>
      </c>
      <c r="F263" s="11">
        <f t="shared" ca="1" si="31"/>
        <v>1</v>
      </c>
      <c r="K263" s="15" t="s">
        <v>1012</v>
      </c>
      <c r="L263" s="16">
        <v>157</v>
      </c>
      <c r="M263" s="28">
        <f t="shared" ca="1" si="27"/>
        <v>138</v>
      </c>
      <c r="N263" s="28">
        <f t="shared" ca="1" si="28"/>
        <v>158</v>
      </c>
      <c r="O263" s="42">
        <f t="shared" ca="1" si="32"/>
        <v>1</v>
      </c>
    </row>
    <row r="264" spans="2:15" x14ac:dyDescent="0.25">
      <c r="B264" s="22" t="s">
        <v>416</v>
      </c>
      <c r="C264" s="19">
        <f t="shared" ca="1" si="29"/>
        <v>0.68854948292247797</v>
      </c>
      <c r="D264" s="19">
        <f t="shared" ca="1" si="30"/>
        <v>0.68854948292247797</v>
      </c>
      <c r="E264" s="26" t="s">
        <v>713</v>
      </c>
      <c r="F264" s="11">
        <f t="shared" ca="1" si="31"/>
        <v>0</v>
      </c>
      <c r="K264" s="15" t="s">
        <v>1013</v>
      </c>
      <c r="L264" s="16">
        <v>132</v>
      </c>
      <c r="M264" s="28">
        <f t="shared" ca="1" si="27"/>
        <v>138</v>
      </c>
      <c r="N264" s="28">
        <f t="shared" ca="1" si="28"/>
        <v>158</v>
      </c>
      <c r="O264" s="42">
        <f t="shared" ca="1" si="32"/>
        <v>0</v>
      </c>
    </row>
    <row r="265" spans="2:15" x14ac:dyDescent="0.25">
      <c r="B265" s="22" t="s">
        <v>417</v>
      </c>
      <c r="C265" s="19">
        <f t="shared" ca="1" si="29"/>
        <v>0.16287780389162507</v>
      </c>
      <c r="D265" s="19">
        <f t="shared" ca="1" si="30"/>
        <v>0.16287780389162507</v>
      </c>
      <c r="E265" s="26" t="s">
        <v>714</v>
      </c>
      <c r="F265" s="11">
        <f t="shared" ca="1" si="31"/>
        <v>0</v>
      </c>
      <c r="K265" s="15" t="s">
        <v>1014</v>
      </c>
      <c r="L265" s="16">
        <v>154</v>
      </c>
      <c r="M265" s="28">
        <f t="shared" ca="1" si="27"/>
        <v>138</v>
      </c>
      <c r="N265" s="28">
        <f t="shared" ca="1" si="28"/>
        <v>158</v>
      </c>
      <c r="O265" s="42">
        <f t="shared" ca="1" si="32"/>
        <v>1</v>
      </c>
    </row>
    <row r="266" spans="2:15" x14ac:dyDescent="0.25">
      <c r="B266" s="22" t="s">
        <v>418</v>
      </c>
      <c r="C266" s="19">
        <f t="shared" ca="1" si="29"/>
        <v>-2.9167774044234291</v>
      </c>
      <c r="D266" s="19">
        <f t="shared" ca="1" si="30"/>
        <v>-2.9167774044234291</v>
      </c>
      <c r="E266" s="26" t="s">
        <v>715</v>
      </c>
      <c r="F266" s="11">
        <f t="shared" ca="1" si="31"/>
        <v>1</v>
      </c>
      <c r="K266" s="15" t="s">
        <v>1015</v>
      </c>
      <c r="L266" s="16">
        <v>151</v>
      </c>
      <c r="M266" s="28">
        <f t="shared" ca="1" si="27"/>
        <v>138</v>
      </c>
      <c r="N266" s="28">
        <f t="shared" ca="1" si="28"/>
        <v>158</v>
      </c>
      <c r="O266" s="42">
        <f t="shared" ca="1" si="32"/>
        <v>1</v>
      </c>
    </row>
    <row r="267" spans="2:15" x14ac:dyDescent="0.25">
      <c r="B267" s="22" t="s">
        <v>419</v>
      </c>
      <c r="C267" s="19">
        <f t="shared" ca="1" si="29"/>
        <v>-0.27967595721326188</v>
      </c>
      <c r="D267" s="19">
        <f t="shared" ca="1" si="30"/>
        <v>-0.27967595721326188</v>
      </c>
      <c r="E267" s="26" t="s">
        <v>716</v>
      </c>
      <c r="F267" s="11">
        <f t="shared" ca="1" si="31"/>
        <v>1</v>
      </c>
      <c r="K267" s="15" t="s">
        <v>1016</v>
      </c>
      <c r="L267" s="16">
        <v>146</v>
      </c>
      <c r="M267" s="28">
        <f t="shared" ref="M267:M330" ca="1" si="33">$I$14-epsilon</f>
        <v>138</v>
      </c>
      <c r="N267" s="28">
        <f t="shared" ref="N267:N330" ca="1" si="34">$I$14+epsilon</f>
        <v>158</v>
      </c>
      <c r="O267" s="42">
        <f t="shared" ca="1" si="32"/>
        <v>1</v>
      </c>
    </row>
    <row r="268" spans="2:15" x14ac:dyDescent="0.25">
      <c r="B268" s="22" t="s">
        <v>420</v>
      </c>
      <c r="C268" s="19">
        <f t="shared" ref="C268:C307" ca="1" si="35">NORMSINV(RAND())</f>
        <v>-1.6987092420555137</v>
      </c>
      <c r="D268" s="19">
        <f t="shared" ref="D268:D307" ca="1" si="36">SQRT(rho)*$C$11+SQRT(1-rho)*C268</f>
        <v>-1.6987092420555137</v>
      </c>
      <c r="E268" s="26" t="s">
        <v>717</v>
      </c>
      <c r="F268" s="11">
        <f t="shared" ref="F268:F307" ca="1" si="37">IF(D268&lt;NORMSINV(p),1,0)</f>
        <v>1</v>
      </c>
      <c r="K268" s="15" t="s">
        <v>1017</v>
      </c>
      <c r="L268" s="16">
        <v>156</v>
      </c>
      <c r="M268" s="28">
        <f t="shared" ca="1" si="33"/>
        <v>138</v>
      </c>
      <c r="N268" s="28">
        <f t="shared" ca="1" si="34"/>
        <v>158</v>
      </c>
      <c r="O268" s="42">
        <f t="shared" ca="1" si="32"/>
        <v>1</v>
      </c>
    </row>
    <row r="269" spans="2:15" x14ac:dyDescent="0.25">
      <c r="B269" s="22" t="s">
        <v>421</v>
      </c>
      <c r="C269" s="19">
        <f t="shared" ca="1" si="35"/>
        <v>0.41853013373509951</v>
      </c>
      <c r="D269" s="19">
        <f t="shared" ca="1" si="36"/>
        <v>0.41853013373509951</v>
      </c>
      <c r="E269" s="26" t="s">
        <v>718</v>
      </c>
      <c r="F269" s="11">
        <f t="shared" ca="1" si="37"/>
        <v>0</v>
      </c>
      <c r="K269" s="15" t="s">
        <v>1018</v>
      </c>
      <c r="L269" s="16">
        <v>136</v>
      </c>
      <c r="M269" s="28">
        <f t="shared" ca="1" si="33"/>
        <v>138</v>
      </c>
      <c r="N269" s="28">
        <f t="shared" ca="1" si="34"/>
        <v>158</v>
      </c>
      <c r="O269" s="42">
        <f t="shared" ref="O269:O332" ca="1" si="38">IF(AND(L269&gt;=M269,L269&lt;=N269),1,0)</f>
        <v>0</v>
      </c>
    </row>
    <row r="270" spans="2:15" x14ac:dyDescent="0.25">
      <c r="B270" s="22" t="s">
        <v>422</v>
      </c>
      <c r="C270" s="19">
        <f t="shared" ca="1" si="35"/>
        <v>-1.2863028856855934</v>
      </c>
      <c r="D270" s="19">
        <f t="shared" ca="1" si="36"/>
        <v>-1.2863028856855934</v>
      </c>
      <c r="E270" s="26" t="s">
        <v>719</v>
      </c>
      <c r="F270" s="11">
        <f t="shared" ca="1" si="37"/>
        <v>1</v>
      </c>
      <c r="K270" s="15" t="s">
        <v>1019</v>
      </c>
      <c r="L270" s="16">
        <v>151</v>
      </c>
      <c r="M270" s="28">
        <f t="shared" ca="1" si="33"/>
        <v>138</v>
      </c>
      <c r="N270" s="28">
        <f t="shared" ca="1" si="34"/>
        <v>158</v>
      </c>
      <c r="O270" s="42">
        <f t="shared" ca="1" si="38"/>
        <v>1</v>
      </c>
    </row>
    <row r="271" spans="2:15" x14ac:dyDescent="0.25">
      <c r="B271" s="22" t="s">
        <v>423</v>
      </c>
      <c r="C271" s="19">
        <f t="shared" ca="1" si="35"/>
        <v>0.4617449338740981</v>
      </c>
      <c r="D271" s="19">
        <f t="shared" ca="1" si="36"/>
        <v>0.4617449338740981</v>
      </c>
      <c r="E271" s="26" t="s">
        <v>720</v>
      </c>
      <c r="F271" s="11">
        <f t="shared" ca="1" si="37"/>
        <v>0</v>
      </c>
      <c r="K271" s="15" t="s">
        <v>1020</v>
      </c>
      <c r="L271" s="16">
        <v>156</v>
      </c>
      <c r="M271" s="28">
        <f t="shared" ca="1" si="33"/>
        <v>138</v>
      </c>
      <c r="N271" s="28">
        <f t="shared" ca="1" si="34"/>
        <v>158</v>
      </c>
      <c r="O271" s="42">
        <f t="shared" ca="1" si="38"/>
        <v>1</v>
      </c>
    </row>
    <row r="272" spans="2:15" x14ac:dyDescent="0.25">
      <c r="B272" s="22" t="s">
        <v>424</v>
      </c>
      <c r="C272" s="19">
        <f t="shared" ca="1" si="35"/>
        <v>0.1527535000629596</v>
      </c>
      <c r="D272" s="19">
        <f t="shared" ca="1" si="36"/>
        <v>0.1527535000629596</v>
      </c>
      <c r="E272" s="26" t="s">
        <v>721</v>
      </c>
      <c r="F272" s="11">
        <f t="shared" ca="1" si="37"/>
        <v>0</v>
      </c>
      <c r="K272" s="15" t="s">
        <v>1021</v>
      </c>
      <c r="L272" s="16">
        <v>152</v>
      </c>
      <c r="M272" s="28">
        <f t="shared" ca="1" si="33"/>
        <v>138</v>
      </c>
      <c r="N272" s="28">
        <f t="shared" ca="1" si="34"/>
        <v>158</v>
      </c>
      <c r="O272" s="42">
        <f t="shared" ca="1" si="38"/>
        <v>1</v>
      </c>
    </row>
    <row r="273" spans="2:15" x14ac:dyDescent="0.25">
      <c r="B273" s="22" t="s">
        <v>425</v>
      </c>
      <c r="C273" s="19">
        <f t="shared" ca="1" si="35"/>
        <v>-0.89094007123321384</v>
      </c>
      <c r="D273" s="19">
        <f t="shared" ca="1" si="36"/>
        <v>-0.89094007123321384</v>
      </c>
      <c r="E273" s="26" t="s">
        <v>722</v>
      </c>
      <c r="F273" s="11">
        <f t="shared" ca="1" si="37"/>
        <v>1</v>
      </c>
      <c r="K273" s="15" t="s">
        <v>1022</v>
      </c>
      <c r="L273" s="16">
        <v>135</v>
      </c>
      <c r="M273" s="28">
        <f t="shared" ca="1" si="33"/>
        <v>138</v>
      </c>
      <c r="N273" s="28">
        <f t="shared" ca="1" si="34"/>
        <v>158</v>
      </c>
      <c r="O273" s="42">
        <f t="shared" ca="1" si="38"/>
        <v>0</v>
      </c>
    </row>
    <row r="274" spans="2:15" x14ac:dyDescent="0.25">
      <c r="B274" s="22" t="s">
        <v>426</v>
      </c>
      <c r="C274" s="19">
        <f t="shared" ca="1" si="35"/>
        <v>-1.5117436604066943</v>
      </c>
      <c r="D274" s="19">
        <f t="shared" ca="1" si="36"/>
        <v>-1.5117436604066943</v>
      </c>
      <c r="E274" s="26" t="s">
        <v>723</v>
      </c>
      <c r="F274" s="11">
        <f t="shared" ca="1" si="37"/>
        <v>1</v>
      </c>
      <c r="K274" s="15" t="s">
        <v>1023</v>
      </c>
      <c r="L274" s="16">
        <v>151</v>
      </c>
      <c r="M274" s="28">
        <f t="shared" ca="1" si="33"/>
        <v>138</v>
      </c>
      <c r="N274" s="28">
        <f t="shared" ca="1" si="34"/>
        <v>158</v>
      </c>
      <c r="O274" s="42">
        <f t="shared" ca="1" si="38"/>
        <v>1</v>
      </c>
    </row>
    <row r="275" spans="2:15" x14ac:dyDescent="0.25">
      <c r="B275" s="22" t="s">
        <v>427</v>
      </c>
      <c r="C275" s="19">
        <f t="shared" ca="1" si="35"/>
        <v>0.1387284642809711</v>
      </c>
      <c r="D275" s="19">
        <f t="shared" ca="1" si="36"/>
        <v>0.1387284642809711</v>
      </c>
      <c r="E275" s="26" t="s">
        <v>724</v>
      </c>
      <c r="F275" s="11">
        <f t="shared" ca="1" si="37"/>
        <v>0</v>
      </c>
      <c r="K275" s="15" t="s">
        <v>1024</v>
      </c>
      <c r="L275" s="16">
        <v>153</v>
      </c>
      <c r="M275" s="28">
        <f t="shared" ca="1" si="33"/>
        <v>138</v>
      </c>
      <c r="N275" s="28">
        <f t="shared" ca="1" si="34"/>
        <v>158</v>
      </c>
      <c r="O275" s="42">
        <f t="shared" ca="1" si="38"/>
        <v>1</v>
      </c>
    </row>
    <row r="276" spans="2:15" x14ac:dyDescent="0.25">
      <c r="B276" s="22" t="s">
        <v>428</v>
      </c>
      <c r="C276" s="19">
        <f t="shared" ca="1" si="35"/>
        <v>0.36806236911510237</v>
      </c>
      <c r="D276" s="19">
        <f t="shared" ca="1" si="36"/>
        <v>0.36806236911510237</v>
      </c>
      <c r="E276" s="26" t="s">
        <v>725</v>
      </c>
      <c r="F276" s="11">
        <f t="shared" ca="1" si="37"/>
        <v>0</v>
      </c>
      <c r="K276" s="15" t="s">
        <v>1025</v>
      </c>
      <c r="L276" s="16">
        <v>147</v>
      </c>
      <c r="M276" s="28">
        <f t="shared" ca="1" si="33"/>
        <v>138</v>
      </c>
      <c r="N276" s="28">
        <f t="shared" ca="1" si="34"/>
        <v>158</v>
      </c>
      <c r="O276" s="42">
        <f t="shared" ca="1" si="38"/>
        <v>1</v>
      </c>
    </row>
    <row r="277" spans="2:15" x14ac:dyDescent="0.25">
      <c r="B277" s="22" t="s">
        <v>429</v>
      </c>
      <c r="C277" s="19">
        <f t="shared" ca="1" si="35"/>
        <v>-2.41960596993518</v>
      </c>
      <c r="D277" s="19">
        <f t="shared" ca="1" si="36"/>
        <v>-2.41960596993518</v>
      </c>
      <c r="E277" s="26" t="s">
        <v>726</v>
      </c>
      <c r="F277" s="11">
        <f t="shared" ca="1" si="37"/>
        <v>1</v>
      </c>
      <c r="K277" s="15" t="s">
        <v>1026</v>
      </c>
      <c r="L277" s="16">
        <v>153</v>
      </c>
      <c r="M277" s="28">
        <f t="shared" ca="1" si="33"/>
        <v>138</v>
      </c>
      <c r="N277" s="28">
        <f t="shared" ca="1" si="34"/>
        <v>158</v>
      </c>
      <c r="O277" s="42">
        <f t="shared" ca="1" si="38"/>
        <v>1</v>
      </c>
    </row>
    <row r="278" spans="2:15" x14ac:dyDescent="0.25">
      <c r="B278" s="22" t="s">
        <v>430</v>
      </c>
      <c r="C278" s="19">
        <f t="shared" ca="1" si="35"/>
        <v>0.32269369547497145</v>
      </c>
      <c r="D278" s="19">
        <f t="shared" ca="1" si="36"/>
        <v>0.32269369547497145</v>
      </c>
      <c r="E278" s="26" t="s">
        <v>727</v>
      </c>
      <c r="F278" s="11">
        <f t="shared" ca="1" si="37"/>
        <v>0</v>
      </c>
      <c r="K278" s="15" t="s">
        <v>1027</v>
      </c>
      <c r="L278" s="16">
        <v>162</v>
      </c>
      <c r="M278" s="28">
        <f t="shared" ca="1" si="33"/>
        <v>138</v>
      </c>
      <c r="N278" s="28">
        <f t="shared" ca="1" si="34"/>
        <v>158</v>
      </c>
      <c r="O278" s="42">
        <f t="shared" ca="1" si="38"/>
        <v>0</v>
      </c>
    </row>
    <row r="279" spans="2:15" x14ac:dyDescent="0.25">
      <c r="B279" s="22" t="s">
        <v>431</v>
      </c>
      <c r="C279" s="19">
        <f t="shared" ca="1" si="35"/>
        <v>0.79764553975564612</v>
      </c>
      <c r="D279" s="19">
        <f t="shared" ca="1" si="36"/>
        <v>0.79764553975564612</v>
      </c>
      <c r="E279" s="26" t="s">
        <v>728</v>
      </c>
      <c r="F279" s="11">
        <f t="shared" ca="1" si="37"/>
        <v>0</v>
      </c>
      <c r="K279" s="15" t="s">
        <v>1028</v>
      </c>
      <c r="L279" s="16">
        <v>147</v>
      </c>
      <c r="M279" s="28">
        <f t="shared" ca="1" si="33"/>
        <v>138</v>
      </c>
      <c r="N279" s="28">
        <f t="shared" ca="1" si="34"/>
        <v>158</v>
      </c>
      <c r="O279" s="42">
        <f t="shared" ca="1" si="38"/>
        <v>1</v>
      </c>
    </row>
    <row r="280" spans="2:15" x14ac:dyDescent="0.25">
      <c r="B280" s="22" t="s">
        <v>432</v>
      </c>
      <c r="C280" s="19">
        <f t="shared" ca="1" si="35"/>
        <v>1.5053337840324577</v>
      </c>
      <c r="D280" s="19">
        <f t="shared" ca="1" si="36"/>
        <v>1.5053337840324577</v>
      </c>
      <c r="E280" s="26" t="s">
        <v>729</v>
      </c>
      <c r="F280" s="11">
        <f t="shared" ca="1" si="37"/>
        <v>0</v>
      </c>
      <c r="K280" s="15" t="s">
        <v>1029</v>
      </c>
      <c r="L280" s="16">
        <v>144</v>
      </c>
      <c r="M280" s="28">
        <f t="shared" ca="1" si="33"/>
        <v>138</v>
      </c>
      <c r="N280" s="28">
        <f t="shared" ca="1" si="34"/>
        <v>158</v>
      </c>
      <c r="O280" s="42">
        <f t="shared" ca="1" si="38"/>
        <v>1</v>
      </c>
    </row>
    <row r="281" spans="2:15" x14ac:dyDescent="0.25">
      <c r="B281" s="22" t="s">
        <v>433</v>
      </c>
      <c r="C281" s="19">
        <f t="shared" ca="1" si="35"/>
        <v>-0.82919589660882997</v>
      </c>
      <c r="D281" s="19">
        <f t="shared" ca="1" si="36"/>
        <v>-0.82919589660882997</v>
      </c>
      <c r="E281" s="26" t="s">
        <v>730</v>
      </c>
      <c r="F281" s="11">
        <f t="shared" ca="1" si="37"/>
        <v>1</v>
      </c>
      <c r="K281" s="15" t="s">
        <v>1030</v>
      </c>
      <c r="L281" s="16">
        <v>153</v>
      </c>
      <c r="M281" s="28">
        <f t="shared" ca="1" si="33"/>
        <v>138</v>
      </c>
      <c r="N281" s="28">
        <f t="shared" ca="1" si="34"/>
        <v>158</v>
      </c>
      <c r="O281" s="42">
        <f t="shared" ca="1" si="38"/>
        <v>1</v>
      </c>
    </row>
    <row r="282" spans="2:15" x14ac:dyDescent="0.25">
      <c r="B282" s="22" t="s">
        <v>434</v>
      </c>
      <c r="C282" s="19">
        <f t="shared" ca="1" si="35"/>
        <v>-0.48819466586677113</v>
      </c>
      <c r="D282" s="19">
        <f t="shared" ca="1" si="36"/>
        <v>-0.48819466586677113</v>
      </c>
      <c r="E282" s="26" t="s">
        <v>731</v>
      </c>
      <c r="F282" s="11">
        <f t="shared" ca="1" si="37"/>
        <v>1</v>
      </c>
      <c r="K282" s="15" t="s">
        <v>1031</v>
      </c>
      <c r="L282" s="16">
        <v>151</v>
      </c>
      <c r="M282" s="28">
        <f t="shared" ca="1" si="33"/>
        <v>138</v>
      </c>
      <c r="N282" s="28">
        <f t="shared" ca="1" si="34"/>
        <v>158</v>
      </c>
      <c r="O282" s="42">
        <f t="shared" ca="1" si="38"/>
        <v>1</v>
      </c>
    </row>
    <row r="283" spans="2:15" x14ac:dyDescent="0.25">
      <c r="B283" s="22" t="s">
        <v>435</v>
      </c>
      <c r="C283" s="19">
        <f t="shared" ca="1" si="35"/>
        <v>1.5657799129910821</v>
      </c>
      <c r="D283" s="19">
        <f t="shared" ca="1" si="36"/>
        <v>1.5657799129910821</v>
      </c>
      <c r="E283" s="26" t="s">
        <v>732</v>
      </c>
      <c r="F283" s="11">
        <f t="shared" ca="1" si="37"/>
        <v>0</v>
      </c>
      <c r="K283" s="15" t="s">
        <v>1032</v>
      </c>
      <c r="L283" s="16">
        <v>138</v>
      </c>
      <c r="M283" s="28">
        <f t="shared" ca="1" si="33"/>
        <v>138</v>
      </c>
      <c r="N283" s="28">
        <f t="shared" ca="1" si="34"/>
        <v>158</v>
      </c>
      <c r="O283" s="42">
        <f t="shared" ca="1" si="38"/>
        <v>1</v>
      </c>
    </row>
    <row r="284" spans="2:15" x14ac:dyDescent="0.25">
      <c r="B284" s="22" t="s">
        <v>436</v>
      </c>
      <c r="C284" s="19">
        <f t="shared" ca="1" si="35"/>
        <v>5.0133066780414286E-2</v>
      </c>
      <c r="D284" s="19">
        <f t="shared" ca="1" si="36"/>
        <v>5.0133066780414286E-2</v>
      </c>
      <c r="E284" s="26" t="s">
        <v>733</v>
      </c>
      <c r="F284" s="11">
        <f t="shared" ca="1" si="37"/>
        <v>0</v>
      </c>
      <c r="K284" s="15" t="s">
        <v>1033</v>
      </c>
      <c r="L284" s="16">
        <v>142</v>
      </c>
      <c r="M284" s="28">
        <f t="shared" ca="1" si="33"/>
        <v>138</v>
      </c>
      <c r="N284" s="28">
        <f t="shared" ca="1" si="34"/>
        <v>158</v>
      </c>
      <c r="O284" s="42">
        <f t="shared" ca="1" si="38"/>
        <v>1</v>
      </c>
    </row>
    <row r="285" spans="2:15" x14ac:dyDescent="0.25">
      <c r="B285" s="22" t="s">
        <v>437</v>
      </c>
      <c r="C285" s="19">
        <f t="shared" ca="1" si="35"/>
        <v>-0.44931686308285185</v>
      </c>
      <c r="D285" s="19">
        <f t="shared" ca="1" si="36"/>
        <v>-0.44931686308285185</v>
      </c>
      <c r="E285" s="26" t="s">
        <v>734</v>
      </c>
      <c r="F285" s="11">
        <f t="shared" ca="1" si="37"/>
        <v>1</v>
      </c>
      <c r="K285" s="15" t="s">
        <v>1034</v>
      </c>
      <c r="L285" s="16">
        <v>158</v>
      </c>
      <c r="M285" s="28">
        <f t="shared" ca="1" si="33"/>
        <v>138</v>
      </c>
      <c r="N285" s="28">
        <f t="shared" ca="1" si="34"/>
        <v>158</v>
      </c>
      <c r="O285" s="42">
        <f t="shared" ca="1" si="38"/>
        <v>1</v>
      </c>
    </row>
    <row r="286" spans="2:15" x14ac:dyDescent="0.25">
      <c r="B286" s="22" t="s">
        <v>438</v>
      </c>
      <c r="C286" s="19">
        <f t="shared" ca="1" si="35"/>
        <v>1.8840128356145158</v>
      </c>
      <c r="D286" s="19">
        <f t="shared" ca="1" si="36"/>
        <v>1.8840128356145158</v>
      </c>
      <c r="E286" s="26" t="s">
        <v>735</v>
      </c>
      <c r="F286" s="11">
        <f t="shared" ca="1" si="37"/>
        <v>0</v>
      </c>
      <c r="K286" s="15" t="s">
        <v>1035</v>
      </c>
      <c r="L286" s="16">
        <v>152</v>
      </c>
      <c r="M286" s="28">
        <f t="shared" ca="1" si="33"/>
        <v>138</v>
      </c>
      <c r="N286" s="28">
        <f t="shared" ca="1" si="34"/>
        <v>158</v>
      </c>
      <c r="O286" s="42">
        <f t="shared" ca="1" si="38"/>
        <v>1</v>
      </c>
    </row>
    <row r="287" spans="2:15" x14ac:dyDescent="0.25">
      <c r="B287" s="22" t="s">
        <v>439</v>
      </c>
      <c r="C287" s="19">
        <f t="shared" ca="1" si="35"/>
        <v>0.67282089178226878</v>
      </c>
      <c r="D287" s="19">
        <f t="shared" ca="1" si="36"/>
        <v>0.67282089178226878</v>
      </c>
      <c r="E287" s="26" t="s">
        <v>736</v>
      </c>
      <c r="F287" s="11">
        <f t="shared" ca="1" si="37"/>
        <v>0</v>
      </c>
      <c r="K287" s="15" t="s">
        <v>1036</v>
      </c>
      <c r="L287" s="16">
        <v>153</v>
      </c>
      <c r="M287" s="28">
        <f t="shared" ca="1" si="33"/>
        <v>138</v>
      </c>
      <c r="N287" s="28">
        <f t="shared" ca="1" si="34"/>
        <v>158</v>
      </c>
      <c r="O287" s="42">
        <f t="shared" ca="1" si="38"/>
        <v>1</v>
      </c>
    </row>
    <row r="288" spans="2:15" x14ac:dyDescent="0.25">
      <c r="B288" s="22" t="s">
        <v>440</v>
      </c>
      <c r="C288" s="19">
        <f t="shared" ca="1" si="35"/>
        <v>0.39562933319680721</v>
      </c>
      <c r="D288" s="19">
        <f t="shared" ca="1" si="36"/>
        <v>0.39562933319680721</v>
      </c>
      <c r="E288" s="26" t="s">
        <v>737</v>
      </c>
      <c r="F288" s="11">
        <f t="shared" ca="1" si="37"/>
        <v>0</v>
      </c>
      <c r="K288" s="15" t="s">
        <v>1037</v>
      </c>
      <c r="L288" s="16">
        <v>148</v>
      </c>
      <c r="M288" s="28">
        <f t="shared" ca="1" si="33"/>
        <v>138</v>
      </c>
      <c r="N288" s="28">
        <f t="shared" ca="1" si="34"/>
        <v>158</v>
      </c>
      <c r="O288" s="42">
        <f t="shared" ca="1" si="38"/>
        <v>1</v>
      </c>
    </row>
    <row r="289" spans="2:15" x14ac:dyDescent="0.25">
      <c r="B289" s="22" t="s">
        <v>441</v>
      </c>
      <c r="C289" s="19">
        <f t="shared" ca="1" si="35"/>
        <v>-0.46352131524523082</v>
      </c>
      <c r="D289" s="19">
        <f t="shared" ca="1" si="36"/>
        <v>-0.46352131524523082</v>
      </c>
      <c r="E289" s="26" t="s">
        <v>738</v>
      </c>
      <c r="F289" s="11">
        <f t="shared" ca="1" si="37"/>
        <v>1</v>
      </c>
      <c r="K289" s="15" t="s">
        <v>1038</v>
      </c>
      <c r="L289" s="16">
        <v>150</v>
      </c>
      <c r="M289" s="28">
        <f t="shared" ca="1" si="33"/>
        <v>138</v>
      </c>
      <c r="N289" s="28">
        <f t="shared" ca="1" si="34"/>
        <v>158</v>
      </c>
      <c r="O289" s="42">
        <f t="shared" ca="1" si="38"/>
        <v>1</v>
      </c>
    </row>
    <row r="290" spans="2:15" x14ac:dyDescent="0.25">
      <c r="B290" s="22" t="s">
        <v>442</v>
      </c>
      <c r="C290" s="19">
        <f t="shared" ca="1" si="35"/>
        <v>-0.59556617054368632</v>
      </c>
      <c r="D290" s="19">
        <f t="shared" ca="1" si="36"/>
        <v>-0.59556617054368632</v>
      </c>
      <c r="E290" s="26" t="s">
        <v>739</v>
      </c>
      <c r="F290" s="11">
        <f t="shared" ca="1" si="37"/>
        <v>1</v>
      </c>
      <c r="K290" s="15" t="s">
        <v>1039</v>
      </c>
      <c r="L290" s="16">
        <v>139</v>
      </c>
      <c r="M290" s="28">
        <f t="shared" ca="1" si="33"/>
        <v>138</v>
      </c>
      <c r="N290" s="28">
        <f t="shared" ca="1" si="34"/>
        <v>158</v>
      </c>
      <c r="O290" s="42">
        <f t="shared" ca="1" si="38"/>
        <v>1</v>
      </c>
    </row>
    <row r="291" spans="2:15" x14ac:dyDescent="0.25">
      <c r="B291" s="22" t="s">
        <v>443</v>
      </c>
      <c r="C291" s="19">
        <f t="shared" ca="1" si="35"/>
        <v>-0.73993507356750565</v>
      </c>
      <c r="D291" s="19">
        <f t="shared" ca="1" si="36"/>
        <v>-0.73993507356750565</v>
      </c>
      <c r="E291" s="26" t="s">
        <v>740</v>
      </c>
      <c r="F291" s="11">
        <f t="shared" ca="1" si="37"/>
        <v>1</v>
      </c>
      <c r="K291" s="15" t="s">
        <v>1040</v>
      </c>
      <c r="L291" s="16">
        <v>154</v>
      </c>
      <c r="M291" s="28">
        <f t="shared" ca="1" si="33"/>
        <v>138</v>
      </c>
      <c r="N291" s="28">
        <f t="shared" ca="1" si="34"/>
        <v>158</v>
      </c>
      <c r="O291" s="42">
        <f t="shared" ca="1" si="38"/>
        <v>1</v>
      </c>
    </row>
    <row r="292" spans="2:15" x14ac:dyDescent="0.25">
      <c r="B292" s="22" t="s">
        <v>444</v>
      </c>
      <c r="C292" s="19">
        <f t="shared" ca="1" si="35"/>
        <v>0.23380079027586465</v>
      </c>
      <c r="D292" s="19">
        <f t="shared" ca="1" si="36"/>
        <v>0.23380079027586465</v>
      </c>
      <c r="E292" s="26" t="s">
        <v>741</v>
      </c>
      <c r="F292" s="11">
        <f t="shared" ca="1" si="37"/>
        <v>0</v>
      </c>
      <c r="K292" s="15" t="s">
        <v>1041</v>
      </c>
      <c r="L292" s="16">
        <v>146</v>
      </c>
      <c r="M292" s="28">
        <f t="shared" ca="1" si="33"/>
        <v>138</v>
      </c>
      <c r="N292" s="28">
        <f t="shared" ca="1" si="34"/>
        <v>158</v>
      </c>
      <c r="O292" s="42">
        <f t="shared" ca="1" si="38"/>
        <v>1</v>
      </c>
    </row>
    <row r="293" spans="2:15" x14ac:dyDescent="0.25">
      <c r="B293" s="22" t="s">
        <v>445</v>
      </c>
      <c r="C293" s="19">
        <f t="shared" ca="1" si="35"/>
        <v>-1.6247133198618191</v>
      </c>
      <c r="D293" s="19">
        <f t="shared" ca="1" si="36"/>
        <v>-1.6247133198618191</v>
      </c>
      <c r="E293" s="26" t="s">
        <v>742</v>
      </c>
      <c r="F293" s="11">
        <f t="shared" ca="1" si="37"/>
        <v>1</v>
      </c>
      <c r="K293" s="15" t="s">
        <v>1042</v>
      </c>
      <c r="L293" s="16">
        <v>143</v>
      </c>
      <c r="M293" s="28">
        <f t="shared" ca="1" si="33"/>
        <v>138</v>
      </c>
      <c r="N293" s="28">
        <f t="shared" ca="1" si="34"/>
        <v>158</v>
      </c>
      <c r="O293" s="42">
        <f t="shared" ca="1" si="38"/>
        <v>1</v>
      </c>
    </row>
    <row r="294" spans="2:15" x14ac:dyDescent="0.25">
      <c r="B294" s="22" t="s">
        <v>446</v>
      </c>
      <c r="C294" s="19">
        <f t="shared" ca="1" si="35"/>
        <v>5.2093435794579174E-3</v>
      </c>
      <c r="D294" s="19">
        <f t="shared" ca="1" si="36"/>
        <v>5.2093435794579174E-3</v>
      </c>
      <c r="E294" s="26" t="s">
        <v>743</v>
      </c>
      <c r="F294" s="11">
        <f t="shared" ca="1" si="37"/>
        <v>0</v>
      </c>
      <c r="K294" s="15" t="s">
        <v>1043</v>
      </c>
      <c r="L294" s="16">
        <v>141</v>
      </c>
      <c r="M294" s="28">
        <f t="shared" ca="1" si="33"/>
        <v>138</v>
      </c>
      <c r="N294" s="28">
        <f t="shared" ca="1" si="34"/>
        <v>158</v>
      </c>
      <c r="O294" s="42">
        <f t="shared" ca="1" si="38"/>
        <v>1</v>
      </c>
    </row>
    <row r="295" spans="2:15" x14ac:dyDescent="0.25">
      <c r="B295" s="22" t="s">
        <v>447</v>
      </c>
      <c r="C295" s="19">
        <f t="shared" ca="1" si="35"/>
        <v>0.76145748468539465</v>
      </c>
      <c r="D295" s="19">
        <f t="shared" ca="1" si="36"/>
        <v>0.76145748468539465</v>
      </c>
      <c r="E295" s="26" t="s">
        <v>744</v>
      </c>
      <c r="F295" s="11">
        <f t="shared" ca="1" si="37"/>
        <v>0</v>
      </c>
      <c r="K295" s="15" t="s">
        <v>1044</v>
      </c>
      <c r="L295" s="16">
        <v>155</v>
      </c>
      <c r="M295" s="28">
        <f t="shared" ca="1" si="33"/>
        <v>138</v>
      </c>
      <c r="N295" s="28">
        <f t="shared" ca="1" si="34"/>
        <v>158</v>
      </c>
      <c r="O295" s="42">
        <f t="shared" ca="1" si="38"/>
        <v>1</v>
      </c>
    </row>
    <row r="296" spans="2:15" x14ac:dyDescent="0.25">
      <c r="B296" s="22" t="s">
        <v>448</v>
      </c>
      <c r="C296" s="19">
        <f t="shared" ca="1" si="35"/>
        <v>-0.48503404327550997</v>
      </c>
      <c r="D296" s="19">
        <f t="shared" ca="1" si="36"/>
        <v>-0.48503404327550997</v>
      </c>
      <c r="E296" s="26" t="s">
        <v>745</v>
      </c>
      <c r="F296" s="11">
        <f t="shared" ca="1" si="37"/>
        <v>1</v>
      </c>
      <c r="K296" s="15" t="s">
        <v>1045</v>
      </c>
      <c r="L296" s="16">
        <v>147</v>
      </c>
      <c r="M296" s="28">
        <f t="shared" ca="1" si="33"/>
        <v>138</v>
      </c>
      <c r="N296" s="28">
        <f t="shared" ca="1" si="34"/>
        <v>158</v>
      </c>
      <c r="O296" s="42">
        <f t="shared" ca="1" si="38"/>
        <v>1</v>
      </c>
    </row>
    <row r="297" spans="2:15" x14ac:dyDescent="0.25">
      <c r="B297" s="22" t="s">
        <v>449</v>
      </c>
      <c r="C297" s="19">
        <f t="shared" ca="1" si="35"/>
        <v>-1.2953035668313773</v>
      </c>
      <c r="D297" s="19">
        <f t="shared" ca="1" si="36"/>
        <v>-1.2953035668313773</v>
      </c>
      <c r="E297" s="26" t="s">
        <v>746</v>
      </c>
      <c r="F297" s="11">
        <f t="shared" ca="1" si="37"/>
        <v>1</v>
      </c>
      <c r="K297" s="15" t="s">
        <v>1046</v>
      </c>
      <c r="L297" s="16">
        <v>157</v>
      </c>
      <c r="M297" s="28">
        <f t="shared" ca="1" si="33"/>
        <v>138</v>
      </c>
      <c r="N297" s="28">
        <f t="shared" ca="1" si="34"/>
        <v>158</v>
      </c>
      <c r="O297" s="42">
        <f t="shared" ca="1" si="38"/>
        <v>1</v>
      </c>
    </row>
    <row r="298" spans="2:15" x14ac:dyDescent="0.25">
      <c r="B298" s="22" t="s">
        <v>450</v>
      </c>
      <c r="C298" s="19">
        <f t="shared" ca="1" si="35"/>
        <v>-1.1605120417956987</v>
      </c>
      <c r="D298" s="19">
        <f t="shared" ca="1" si="36"/>
        <v>-1.1605120417956987</v>
      </c>
      <c r="E298" s="26" t="s">
        <v>747</v>
      </c>
      <c r="F298" s="11">
        <f t="shared" ca="1" si="37"/>
        <v>1</v>
      </c>
      <c r="K298" s="15" t="s">
        <v>1047</v>
      </c>
      <c r="L298" s="16">
        <v>135</v>
      </c>
      <c r="M298" s="28">
        <f t="shared" ca="1" si="33"/>
        <v>138</v>
      </c>
      <c r="N298" s="28">
        <f t="shared" ca="1" si="34"/>
        <v>158</v>
      </c>
      <c r="O298" s="42">
        <f t="shared" ca="1" si="38"/>
        <v>0</v>
      </c>
    </row>
    <row r="299" spans="2:15" x14ac:dyDescent="0.25">
      <c r="B299" s="22" t="s">
        <v>451</v>
      </c>
      <c r="C299" s="19">
        <f t="shared" ca="1" si="35"/>
        <v>-1.0388871116766534</v>
      </c>
      <c r="D299" s="19">
        <f t="shared" ca="1" si="36"/>
        <v>-1.0388871116766534</v>
      </c>
      <c r="E299" s="26" t="s">
        <v>748</v>
      </c>
      <c r="F299" s="11">
        <f t="shared" ca="1" si="37"/>
        <v>1</v>
      </c>
      <c r="K299" s="15" t="s">
        <v>1048</v>
      </c>
      <c r="L299" s="16">
        <v>130</v>
      </c>
      <c r="M299" s="28">
        <f t="shared" ca="1" si="33"/>
        <v>138</v>
      </c>
      <c r="N299" s="28">
        <f t="shared" ca="1" si="34"/>
        <v>158</v>
      </c>
      <c r="O299" s="42">
        <f t="shared" ca="1" si="38"/>
        <v>0</v>
      </c>
    </row>
    <row r="300" spans="2:15" x14ac:dyDescent="0.25">
      <c r="B300" s="22" t="s">
        <v>452</v>
      </c>
      <c r="C300" s="19">
        <f t="shared" ca="1" si="35"/>
        <v>-0.16420159829909692</v>
      </c>
      <c r="D300" s="19">
        <f t="shared" ca="1" si="36"/>
        <v>-0.16420159829909692</v>
      </c>
      <c r="E300" s="26" t="s">
        <v>749</v>
      </c>
      <c r="F300" s="11">
        <f t="shared" ca="1" si="37"/>
        <v>1</v>
      </c>
      <c r="K300" s="15" t="s">
        <v>1049</v>
      </c>
      <c r="L300" s="16">
        <v>146</v>
      </c>
      <c r="M300" s="28">
        <f t="shared" ca="1" si="33"/>
        <v>138</v>
      </c>
      <c r="N300" s="28">
        <f t="shared" ca="1" si="34"/>
        <v>158</v>
      </c>
      <c r="O300" s="42">
        <f t="shared" ca="1" si="38"/>
        <v>1</v>
      </c>
    </row>
    <row r="301" spans="2:15" x14ac:dyDescent="0.25">
      <c r="B301" s="22" t="s">
        <v>453</v>
      </c>
      <c r="C301" s="19">
        <f t="shared" ca="1" si="35"/>
        <v>-0.37779361966465724</v>
      </c>
      <c r="D301" s="19">
        <f t="shared" ca="1" si="36"/>
        <v>-0.37779361966465724</v>
      </c>
      <c r="E301" s="26" t="s">
        <v>750</v>
      </c>
      <c r="F301" s="11">
        <f t="shared" ca="1" si="37"/>
        <v>1</v>
      </c>
      <c r="K301" s="15" t="s">
        <v>1050</v>
      </c>
      <c r="L301" s="16">
        <v>159</v>
      </c>
      <c r="M301" s="28">
        <f t="shared" ca="1" si="33"/>
        <v>138</v>
      </c>
      <c r="N301" s="28">
        <f t="shared" ca="1" si="34"/>
        <v>158</v>
      </c>
      <c r="O301" s="42">
        <f t="shared" ca="1" si="38"/>
        <v>0</v>
      </c>
    </row>
    <row r="302" spans="2:15" x14ac:dyDescent="0.25">
      <c r="B302" s="22" t="s">
        <v>454</v>
      </c>
      <c r="C302" s="19">
        <f t="shared" ca="1" si="35"/>
        <v>-0.38657134255029757</v>
      </c>
      <c r="D302" s="19">
        <f t="shared" ca="1" si="36"/>
        <v>-0.38657134255029757</v>
      </c>
      <c r="E302" s="26" t="s">
        <v>751</v>
      </c>
      <c r="F302" s="11">
        <f t="shared" ca="1" si="37"/>
        <v>1</v>
      </c>
      <c r="K302" s="15" t="s">
        <v>1051</v>
      </c>
      <c r="L302" s="16">
        <v>151</v>
      </c>
      <c r="M302" s="28">
        <f t="shared" ca="1" si="33"/>
        <v>138</v>
      </c>
      <c r="N302" s="28">
        <f t="shared" ca="1" si="34"/>
        <v>158</v>
      </c>
      <c r="O302" s="42">
        <f t="shared" ca="1" si="38"/>
        <v>1</v>
      </c>
    </row>
    <row r="303" spans="2:15" x14ac:dyDescent="0.25">
      <c r="B303" s="22" t="s">
        <v>455</v>
      </c>
      <c r="C303" s="19">
        <f t="shared" ca="1" si="35"/>
        <v>1.2072205670239409</v>
      </c>
      <c r="D303" s="19">
        <f t="shared" ca="1" si="36"/>
        <v>1.2072205670239409</v>
      </c>
      <c r="E303" s="26" t="s">
        <v>752</v>
      </c>
      <c r="F303" s="11">
        <f t="shared" ca="1" si="37"/>
        <v>0</v>
      </c>
      <c r="K303" s="15" t="s">
        <v>1052</v>
      </c>
      <c r="L303" s="16">
        <v>155</v>
      </c>
      <c r="M303" s="28">
        <f t="shared" ca="1" si="33"/>
        <v>138</v>
      </c>
      <c r="N303" s="28">
        <f t="shared" ca="1" si="34"/>
        <v>158</v>
      </c>
      <c r="O303" s="42">
        <f t="shared" ca="1" si="38"/>
        <v>1</v>
      </c>
    </row>
    <row r="304" spans="2:15" x14ac:dyDescent="0.25">
      <c r="B304" s="22" t="s">
        <v>456</v>
      </c>
      <c r="C304" s="19">
        <f t="shared" ca="1" si="35"/>
        <v>0.3902509542706466</v>
      </c>
      <c r="D304" s="19">
        <f t="shared" ca="1" si="36"/>
        <v>0.3902509542706466</v>
      </c>
      <c r="E304" s="26" t="s">
        <v>753</v>
      </c>
      <c r="F304" s="11">
        <f t="shared" ca="1" si="37"/>
        <v>0</v>
      </c>
      <c r="K304" s="15" t="s">
        <v>1053</v>
      </c>
      <c r="L304" s="16">
        <v>144</v>
      </c>
      <c r="M304" s="28">
        <f t="shared" ca="1" si="33"/>
        <v>138</v>
      </c>
      <c r="N304" s="28">
        <f t="shared" ca="1" si="34"/>
        <v>158</v>
      </c>
      <c r="O304" s="42">
        <f t="shared" ca="1" si="38"/>
        <v>1</v>
      </c>
    </row>
    <row r="305" spans="2:15" x14ac:dyDescent="0.25">
      <c r="B305" s="22" t="s">
        <v>457</v>
      </c>
      <c r="C305" s="19">
        <f t="shared" ca="1" si="35"/>
        <v>0.42294836293114707</v>
      </c>
      <c r="D305" s="19">
        <f t="shared" ca="1" si="36"/>
        <v>0.42294836293114707</v>
      </c>
      <c r="E305" s="26" t="s">
        <v>754</v>
      </c>
      <c r="F305" s="11">
        <f t="shared" ca="1" si="37"/>
        <v>0</v>
      </c>
      <c r="K305" s="15" t="s">
        <v>1054</v>
      </c>
      <c r="L305" s="16">
        <v>148</v>
      </c>
      <c r="M305" s="28">
        <f t="shared" ca="1" si="33"/>
        <v>138</v>
      </c>
      <c r="N305" s="28">
        <f t="shared" ca="1" si="34"/>
        <v>158</v>
      </c>
      <c r="O305" s="42">
        <f t="shared" ca="1" si="38"/>
        <v>1</v>
      </c>
    </row>
    <row r="306" spans="2:15" x14ac:dyDescent="0.25">
      <c r="B306" s="22" t="s">
        <v>458</v>
      </c>
      <c r="C306" s="19">
        <f t="shared" ca="1" si="35"/>
        <v>-1.1910348753383977</v>
      </c>
      <c r="D306" s="19">
        <f t="shared" ca="1" si="36"/>
        <v>-1.1910348753383977</v>
      </c>
      <c r="E306" s="26" t="s">
        <v>755</v>
      </c>
      <c r="F306" s="11">
        <f t="shared" ca="1" si="37"/>
        <v>1</v>
      </c>
      <c r="K306" s="15" t="s">
        <v>1055</v>
      </c>
      <c r="L306" s="16">
        <v>142</v>
      </c>
      <c r="M306" s="28">
        <f t="shared" ca="1" si="33"/>
        <v>138</v>
      </c>
      <c r="N306" s="28">
        <f t="shared" ca="1" si="34"/>
        <v>158</v>
      </c>
      <c r="O306" s="42">
        <f t="shared" ca="1" si="38"/>
        <v>1</v>
      </c>
    </row>
    <row r="307" spans="2:15" ht="15.75" thickBot="1" x14ac:dyDescent="0.3">
      <c r="B307" s="23" t="s">
        <v>459</v>
      </c>
      <c r="C307" s="20">
        <f t="shared" ca="1" si="35"/>
        <v>-1.2347449091934826</v>
      </c>
      <c r="D307" s="20">
        <f t="shared" ca="1" si="36"/>
        <v>-1.2347449091934826</v>
      </c>
      <c r="E307" s="27" t="s">
        <v>756</v>
      </c>
      <c r="F307" s="17">
        <f t="shared" ca="1" si="37"/>
        <v>1</v>
      </c>
      <c r="K307" s="15" t="s">
        <v>1056</v>
      </c>
      <c r="L307" s="16">
        <v>143</v>
      </c>
      <c r="M307" s="28">
        <f t="shared" ca="1" si="33"/>
        <v>138</v>
      </c>
      <c r="N307" s="28">
        <f t="shared" ca="1" si="34"/>
        <v>158</v>
      </c>
      <c r="O307" s="42">
        <f t="shared" ca="1" si="38"/>
        <v>1</v>
      </c>
    </row>
    <row r="308" spans="2:15" x14ac:dyDescent="0.25">
      <c r="K308" s="15" t="s">
        <v>1057</v>
      </c>
      <c r="L308" s="16">
        <v>145</v>
      </c>
      <c r="M308" s="28">
        <f t="shared" ca="1" si="33"/>
        <v>138</v>
      </c>
      <c r="N308" s="28">
        <f t="shared" ca="1" si="34"/>
        <v>158</v>
      </c>
      <c r="O308" s="42">
        <f t="shared" ca="1" si="38"/>
        <v>1</v>
      </c>
    </row>
    <row r="309" spans="2:15" x14ac:dyDescent="0.25">
      <c r="K309" s="15" t="s">
        <v>1058</v>
      </c>
      <c r="L309" s="16">
        <v>164</v>
      </c>
      <c r="M309" s="28">
        <f t="shared" ca="1" si="33"/>
        <v>138</v>
      </c>
      <c r="N309" s="28">
        <f t="shared" ca="1" si="34"/>
        <v>158</v>
      </c>
      <c r="O309" s="42">
        <f t="shared" ca="1" si="38"/>
        <v>0</v>
      </c>
    </row>
    <row r="310" spans="2:15" x14ac:dyDescent="0.25">
      <c r="K310" s="15" t="s">
        <v>1059</v>
      </c>
      <c r="L310" s="16">
        <v>149</v>
      </c>
      <c r="M310" s="28">
        <f t="shared" ca="1" si="33"/>
        <v>138</v>
      </c>
      <c r="N310" s="28">
        <f t="shared" ca="1" si="34"/>
        <v>158</v>
      </c>
      <c r="O310" s="42">
        <f t="shared" ca="1" si="38"/>
        <v>1</v>
      </c>
    </row>
    <row r="311" spans="2:15" x14ac:dyDescent="0.25">
      <c r="K311" s="15" t="s">
        <v>1060</v>
      </c>
      <c r="L311" s="16">
        <v>147</v>
      </c>
      <c r="M311" s="28">
        <f t="shared" ca="1" si="33"/>
        <v>138</v>
      </c>
      <c r="N311" s="28">
        <f t="shared" ca="1" si="34"/>
        <v>158</v>
      </c>
      <c r="O311" s="42">
        <f t="shared" ca="1" si="38"/>
        <v>1</v>
      </c>
    </row>
    <row r="312" spans="2:15" x14ac:dyDescent="0.25">
      <c r="K312" s="15" t="s">
        <v>1061</v>
      </c>
      <c r="L312" s="16">
        <v>146</v>
      </c>
      <c r="M312" s="28">
        <f t="shared" ca="1" si="33"/>
        <v>138</v>
      </c>
      <c r="N312" s="28">
        <f t="shared" ca="1" si="34"/>
        <v>158</v>
      </c>
      <c r="O312" s="42">
        <f t="shared" ca="1" si="38"/>
        <v>1</v>
      </c>
    </row>
    <row r="313" spans="2:15" x14ac:dyDescent="0.25">
      <c r="K313" s="15" t="s">
        <v>1062</v>
      </c>
      <c r="L313" s="16">
        <v>148</v>
      </c>
      <c r="M313" s="28">
        <f t="shared" ca="1" si="33"/>
        <v>138</v>
      </c>
      <c r="N313" s="28">
        <f t="shared" ca="1" si="34"/>
        <v>158</v>
      </c>
      <c r="O313" s="42">
        <f t="shared" ca="1" si="38"/>
        <v>1</v>
      </c>
    </row>
    <row r="314" spans="2:15" x14ac:dyDescent="0.25">
      <c r="K314" s="15" t="s">
        <v>1063</v>
      </c>
      <c r="L314" s="16">
        <v>143</v>
      </c>
      <c r="M314" s="28">
        <f t="shared" ca="1" si="33"/>
        <v>138</v>
      </c>
      <c r="N314" s="28">
        <f t="shared" ca="1" si="34"/>
        <v>158</v>
      </c>
      <c r="O314" s="42">
        <f t="shared" ca="1" si="38"/>
        <v>1</v>
      </c>
    </row>
    <row r="315" spans="2:15" x14ac:dyDescent="0.25">
      <c r="K315" s="15" t="s">
        <v>1064</v>
      </c>
      <c r="L315" s="16">
        <v>150</v>
      </c>
      <c r="M315" s="28">
        <f t="shared" ca="1" si="33"/>
        <v>138</v>
      </c>
      <c r="N315" s="28">
        <f t="shared" ca="1" si="34"/>
        <v>158</v>
      </c>
      <c r="O315" s="42">
        <f t="shared" ca="1" si="38"/>
        <v>1</v>
      </c>
    </row>
    <row r="316" spans="2:15" x14ac:dyDescent="0.25">
      <c r="K316" s="15" t="s">
        <v>1065</v>
      </c>
      <c r="L316" s="16">
        <v>150</v>
      </c>
      <c r="M316" s="28">
        <f t="shared" ca="1" si="33"/>
        <v>138</v>
      </c>
      <c r="N316" s="28">
        <f t="shared" ca="1" si="34"/>
        <v>158</v>
      </c>
      <c r="O316" s="42">
        <f t="shared" ca="1" si="38"/>
        <v>1</v>
      </c>
    </row>
    <row r="317" spans="2:15" x14ac:dyDescent="0.25">
      <c r="K317" s="15" t="s">
        <v>1066</v>
      </c>
      <c r="L317" s="16">
        <v>157</v>
      </c>
      <c r="M317" s="28">
        <f t="shared" ca="1" si="33"/>
        <v>138</v>
      </c>
      <c r="N317" s="28">
        <f t="shared" ca="1" si="34"/>
        <v>158</v>
      </c>
      <c r="O317" s="42">
        <f t="shared" ca="1" si="38"/>
        <v>1</v>
      </c>
    </row>
    <row r="318" spans="2:15" x14ac:dyDescent="0.25">
      <c r="K318" s="15" t="s">
        <v>1067</v>
      </c>
      <c r="L318" s="16">
        <v>141</v>
      </c>
      <c r="M318" s="28">
        <f t="shared" ca="1" si="33"/>
        <v>138</v>
      </c>
      <c r="N318" s="28">
        <f t="shared" ca="1" si="34"/>
        <v>158</v>
      </c>
      <c r="O318" s="42">
        <f t="shared" ca="1" si="38"/>
        <v>1</v>
      </c>
    </row>
    <row r="319" spans="2:15" x14ac:dyDescent="0.25">
      <c r="K319" s="15" t="s">
        <v>1068</v>
      </c>
      <c r="L319" s="16">
        <v>170</v>
      </c>
      <c r="M319" s="28">
        <f t="shared" ca="1" si="33"/>
        <v>138</v>
      </c>
      <c r="N319" s="28">
        <f t="shared" ca="1" si="34"/>
        <v>158</v>
      </c>
      <c r="O319" s="42">
        <f t="shared" ca="1" si="38"/>
        <v>0</v>
      </c>
    </row>
    <row r="320" spans="2:15" x14ac:dyDescent="0.25">
      <c r="K320" s="15" t="s">
        <v>1069</v>
      </c>
      <c r="L320" s="16">
        <v>160</v>
      </c>
      <c r="M320" s="28">
        <f t="shared" ca="1" si="33"/>
        <v>138</v>
      </c>
      <c r="N320" s="28">
        <f t="shared" ca="1" si="34"/>
        <v>158</v>
      </c>
      <c r="O320" s="42">
        <f t="shared" ca="1" si="38"/>
        <v>0</v>
      </c>
    </row>
    <row r="321" spans="11:15" x14ac:dyDescent="0.25">
      <c r="K321" s="15" t="s">
        <v>1070</v>
      </c>
      <c r="L321" s="16">
        <v>153</v>
      </c>
      <c r="M321" s="28">
        <f t="shared" ca="1" si="33"/>
        <v>138</v>
      </c>
      <c r="N321" s="28">
        <f t="shared" ca="1" si="34"/>
        <v>158</v>
      </c>
      <c r="O321" s="42">
        <f t="shared" ca="1" si="38"/>
        <v>1</v>
      </c>
    </row>
    <row r="322" spans="11:15" x14ac:dyDescent="0.25">
      <c r="K322" s="15" t="s">
        <v>1071</v>
      </c>
      <c r="L322" s="16">
        <v>144</v>
      </c>
      <c r="M322" s="28">
        <f t="shared" ca="1" si="33"/>
        <v>138</v>
      </c>
      <c r="N322" s="28">
        <f t="shared" ca="1" si="34"/>
        <v>158</v>
      </c>
      <c r="O322" s="42">
        <f t="shared" ca="1" si="38"/>
        <v>1</v>
      </c>
    </row>
    <row r="323" spans="11:15" x14ac:dyDescent="0.25">
      <c r="K323" s="15" t="s">
        <v>1072</v>
      </c>
      <c r="L323" s="16">
        <v>154</v>
      </c>
      <c r="M323" s="28">
        <f t="shared" ca="1" si="33"/>
        <v>138</v>
      </c>
      <c r="N323" s="28">
        <f t="shared" ca="1" si="34"/>
        <v>158</v>
      </c>
      <c r="O323" s="42">
        <f t="shared" ca="1" si="38"/>
        <v>1</v>
      </c>
    </row>
    <row r="324" spans="11:15" x14ac:dyDescent="0.25">
      <c r="K324" s="15" t="s">
        <v>1073</v>
      </c>
      <c r="L324" s="16">
        <v>136</v>
      </c>
      <c r="M324" s="28">
        <f t="shared" ca="1" si="33"/>
        <v>138</v>
      </c>
      <c r="N324" s="28">
        <f t="shared" ca="1" si="34"/>
        <v>158</v>
      </c>
      <c r="O324" s="42">
        <f t="shared" ca="1" si="38"/>
        <v>0</v>
      </c>
    </row>
    <row r="325" spans="11:15" x14ac:dyDescent="0.25">
      <c r="K325" s="15" t="s">
        <v>1074</v>
      </c>
      <c r="L325" s="16">
        <v>155</v>
      </c>
      <c r="M325" s="28">
        <f t="shared" ca="1" si="33"/>
        <v>138</v>
      </c>
      <c r="N325" s="28">
        <f t="shared" ca="1" si="34"/>
        <v>158</v>
      </c>
      <c r="O325" s="42">
        <f t="shared" ca="1" si="38"/>
        <v>1</v>
      </c>
    </row>
    <row r="326" spans="11:15" x14ac:dyDescent="0.25">
      <c r="K326" s="15" t="s">
        <v>1075</v>
      </c>
      <c r="L326" s="16">
        <v>139</v>
      </c>
      <c r="M326" s="28">
        <f t="shared" ca="1" si="33"/>
        <v>138</v>
      </c>
      <c r="N326" s="28">
        <f t="shared" ca="1" si="34"/>
        <v>158</v>
      </c>
      <c r="O326" s="42">
        <f t="shared" ca="1" si="38"/>
        <v>1</v>
      </c>
    </row>
    <row r="327" spans="11:15" x14ac:dyDescent="0.25">
      <c r="K327" s="15" t="s">
        <v>1076</v>
      </c>
      <c r="L327" s="16">
        <v>142</v>
      </c>
      <c r="M327" s="28">
        <f t="shared" ca="1" si="33"/>
        <v>138</v>
      </c>
      <c r="N327" s="28">
        <f t="shared" ca="1" si="34"/>
        <v>158</v>
      </c>
      <c r="O327" s="42">
        <f t="shared" ca="1" si="38"/>
        <v>1</v>
      </c>
    </row>
    <row r="328" spans="11:15" x14ac:dyDescent="0.25">
      <c r="K328" s="15" t="s">
        <v>1077</v>
      </c>
      <c r="L328" s="16">
        <v>173</v>
      </c>
      <c r="M328" s="28">
        <f t="shared" ca="1" si="33"/>
        <v>138</v>
      </c>
      <c r="N328" s="28">
        <f t="shared" ca="1" si="34"/>
        <v>158</v>
      </c>
      <c r="O328" s="42">
        <f t="shared" ca="1" si="38"/>
        <v>0</v>
      </c>
    </row>
    <row r="329" spans="11:15" x14ac:dyDescent="0.25">
      <c r="K329" s="15" t="s">
        <v>1078</v>
      </c>
      <c r="L329" s="16">
        <v>161</v>
      </c>
      <c r="M329" s="28">
        <f t="shared" ca="1" si="33"/>
        <v>138</v>
      </c>
      <c r="N329" s="28">
        <f t="shared" ca="1" si="34"/>
        <v>158</v>
      </c>
      <c r="O329" s="42">
        <f t="shared" ca="1" si="38"/>
        <v>0</v>
      </c>
    </row>
    <row r="330" spans="11:15" x14ac:dyDescent="0.25">
      <c r="K330" s="15" t="s">
        <v>1079</v>
      </c>
      <c r="L330" s="16">
        <v>159</v>
      </c>
      <c r="M330" s="28">
        <f t="shared" ca="1" si="33"/>
        <v>138</v>
      </c>
      <c r="N330" s="28">
        <f t="shared" ca="1" si="34"/>
        <v>158</v>
      </c>
      <c r="O330" s="42">
        <f t="shared" ca="1" si="38"/>
        <v>0</v>
      </c>
    </row>
    <row r="331" spans="11:15" x14ac:dyDescent="0.25">
      <c r="K331" s="15" t="s">
        <v>1080</v>
      </c>
      <c r="L331" s="16">
        <v>148</v>
      </c>
      <c r="M331" s="28">
        <f t="shared" ref="M331:M394" ca="1" si="39">$I$14-epsilon</f>
        <v>138</v>
      </c>
      <c r="N331" s="28">
        <f t="shared" ref="N331:N394" ca="1" si="40">$I$14+epsilon</f>
        <v>158</v>
      </c>
      <c r="O331" s="42">
        <f t="shared" ca="1" si="38"/>
        <v>1</v>
      </c>
    </row>
    <row r="332" spans="11:15" x14ac:dyDescent="0.25">
      <c r="K332" s="15" t="s">
        <v>1081</v>
      </c>
      <c r="L332" s="16">
        <v>152</v>
      </c>
      <c r="M332" s="28">
        <f t="shared" ca="1" si="39"/>
        <v>138</v>
      </c>
      <c r="N332" s="28">
        <f t="shared" ca="1" si="40"/>
        <v>158</v>
      </c>
      <c r="O332" s="42">
        <f t="shared" ca="1" si="38"/>
        <v>1</v>
      </c>
    </row>
    <row r="333" spans="11:15" x14ac:dyDescent="0.25">
      <c r="K333" s="15" t="s">
        <v>1082</v>
      </c>
      <c r="L333" s="16">
        <v>143</v>
      </c>
      <c r="M333" s="28">
        <f t="shared" ca="1" si="39"/>
        <v>138</v>
      </c>
      <c r="N333" s="28">
        <f t="shared" ca="1" si="40"/>
        <v>158</v>
      </c>
      <c r="O333" s="42">
        <f t="shared" ref="O333:O396" ca="1" si="41">IF(AND(L333&gt;=M333,L333&lt;=N333),1,0)</f>
        <v>1</v>
      </c>
    </row>
    <row r="334" spans="11:15" x14ac:dyDescent="0.25">
      <c r="K334" s="15" t="s">
        <v>1083</v>
      </c>
      <c r="L334" s="16">
        <v>150</v>
      </c>
      <c r="M334" s="28">
        <f t="shared" ca="1" si="39"/>
        <v>138</v>
      </c>
      <c r="N334" s="28">
        <f t="shared" ca="1" si="40"/>
        <v>158</v>
      </c>
      <c r="O334" s="42">
        <f t="shared" ca="1" si="41"/>
        <v>1</v>
      </c>
    </row>
    <row r="335" spans="11:15" x14ac:dyDescent="0.25">
      <c r="K335" s="15" t="s">
        <v>1084</v>
      </c>
      <c r="L335" s="16">
        <v>164</v>
      </c>
      <c r="M335" s="28">
        <f t="shared" ca="1" si="39"/>
        <v>138</v>
      </c>
      <c r="N335" s="28">
        <f t="shared" ca="1" si="40"/>
        <v>158</v>
      </c>
      <c r="O335" s="42">
        <f t="shared" ca="1" si="41"/>
        <v>0</v>
      </c>
    </row>
    <row r="336" spans="11:15" x14ac:dyDescent="0.25">
      <c r="K336" s="15" t="s">
        <v>1085</v>
      </c>
      <c r="L336" s="16">
        <v>155</v>
      </c>
      <c r="M336" s="28">
        <f t="shared" ca="1" si="39"/>
        <v>138</v>
      </c>
      <c r="N336" s="28">
        <f t="shared" ca="1" si="40"/>
        <v>158</v>
      </c>
      <c r="O336" s="42">
        <f t="shared" ca="1" si="41"/>
        <v>1</v>
      </c>
    </row>
    <row r="337" spans="11:15" x14ac:dyDescent="0.25">
      <c r="K337" s="15" t="s">
        <v>1086</v>
      </c>
      <c r="L337" s="16">
        <v>152</v>
      </c>
      <c r="M337" s="28">
        <f t="shared" ca="1" si="39"/>
        <v>138</v>
      </c>
      <c r="N337" s="28">
        <f t="shared" ca="1" si="40"/>
        <v>158</v>
      </c>
      <c r="O337" s="42">
        <f t="shared" ca="1" si="41"/>
        <v>1</v>
      </c>
    </row>
    <row r="338" spans="11:15" x14ac:dyDescent="0.25">
      <c r="K338" s="15" t="s">
        <v>1087</v>
      </c>
      <c r="L338" s="16">
        <v>144</v>
      </c>
      <c r="M338" s="28">
        <f t="shared" ca="1" si="39"/>
        <v>138</v>
      </c>
      <c r="N338" s="28">
        <f t="shared" ca="1" si="40"/>
        <v>158</v>
      </c>
      <c r="O338" s="42">
        <f t="shared" ca="1" si="41"/>
        <v>1</v>
      </c>
    </row>
    <row r="339" spans="11:15" x14ac:dyDescent="0.25">
      <c r="K339" s="15" t="s">
        <v>1088</v>
      </c>
      <c r="L339" s="16">
        <v>147</v>
      </c>
      <c r="M339" s="28">
        <f t="shared" ca="1" si="39"/>
        <v>138</v>
      </c>
      <c r="N339" s="28">
        <f t="shared" ca="1" si="40"/>
        <v>158</v>
      </c>
      <c r="O339" s="42">
        <f t="shared" ca="1" si="41"/>
        <v>1</v>
      </c>
    </row>
    <row r="340" spans="11:15" x14ac:dyDescent="0.25">
      <c r="K340" s="15" t="s">
        <v>1089</v>
      </c>
      <c r="L340" s="16">
        <v>151</v>
      </c>
      <c r="M340" s="28">
        <f t="shared" ca="1" si="39"/>
        <v>138</v>
      </c>
      <c r="N340" s="28">
        <f t="shared" ca="1" si="40"/>
        <v>158</v>
      </c>
      <c r="O340" s="42">
        <f t="shared" ca="1" si="41"/>
        <v>1</v>
      </c>
    </row>
    <row r="341" spans="11:15" x14ac:dyDescent="0.25">
      <c r="K341" s="15" t="s">
        <v>1090</v>
      </c>
      <c r="L341" s="16">
        <v>162</v>
      </c>
      <c r="M341" s="28">
        <f t="shared" ca="1" si="39"/>
        <v>138</v>
      </c>
      <c r="N341" s="28">
        <f t="shared" ca="1" si="40"/>
        <v>158</v>
      </c>
      <c r="O341" s="42">
        <f t="shared" ca="1" si="41"/>
        <v>0</v>
      </c>
    </row>
    <row r="342" spans="11:15" x14ac:dyDescent="0.25">
      <c r="K342" s="15" t="s">
        <v>1091</v>
      </c>
      <c r="L342" s="16">
        <v>165</v>
      </c>
      <c r="M342" s="28">
        <f t="shared" ca="1" si="39"/>
        <v>138</v>
      </c>
      <c r="N342" s="28">
        <f t="shared" ca="1" si="40"/>
        <v>158</v>
      </c>
      <c r="O342" s="42">
        <f t="shared" ca="1" si="41"/>
        <v>0</v>
      </c>
    </row>
    <row r="343" spans="11:15" x14ac:dyDescent="0.25">
      <c r="K343" s="15" t="s">
        <v>1092</v>
      </c>
      <c r="L343" s="16">
        <v>162</v>
      </c>
      <c r="M343" s="28">
        <f t="shared" ca="1" si="39"/>
        <v>138</v>
      </c>
      <c r="N343" s="28">
        <f t="shared" ca="1" si="40"/>
        <v>158</v>
      </c>
      <c r="O343" s="42">
        <f t="shared" ca="1" si="41"/>
        <v>0</v>
      </c>
    </row>
    <row r="344" spans="11:15" x14ac:dyDescent="0.25">
      <c r="K344" s="15" t="s">
        <v>1093</v>
      </c>
      <c r="L344" s="16">
        <v>151</v>
      </c>
      <c r="M344" s="28">
        <f t="shared" ca="1" si="39"/>
        <v>138</v>
      </c>
      <c r="N344" s="28">
        <f t="shared" ca="1" si="40"/>
        <v>158</v>
      </c>
      <c r="O344" s="42">
        <f t="shared" ca="1" si="41"/>
        <v>1</v>
      </c>
    </row>
    <row r="345" spans="11:15" x14ac:dyDescent="0.25">
      <c r="K345" s="15" t="s">
        <v>1094</v>
      </c>
      <c r="L345" s="16">
        <v>135</v>
      </c>
      <c r="M345" s="28">
        <f t="shared" ca="1" si="39"/>
        <v>138</v>
      </c>
      <c r="N345" s="28">
        <f t="shared" ca="1" si="40"/>
        <v>158</v>
      </c>
      <c r="O345" s="42">
        <f t="shared" ca="1" si="41"/>
        <v>0</v>
      </c>
    </row>
    <row r="346" spans="11:15" x14ac:dyDescent="0.25">
      <c r="K346" s="15" t="s">
        <v>1095</v>
      </c>
      <c r="L346" s="16">
        <v>149</v>
      </c>
      <c r="M346" s="28">
        <f t="shared" ca="1" si="39"/>
        <v>138</v>
      </c>
      <c r="N346" s="28">
        <f t="shared" ca="1" si="40"/>
        <v>158</v>
      </c>
      <c r="O346" s="42">
        <f t="shared" ca="1" si="41"/>
        <v>1</v>
      </c>
    </row>
    <row r="347" spans="11:15" x14ac:dyDescent="0.25">
      <c r="K347" s="15" t="s">
        <v>1096</v>
      </c>
      <c r="L347" s="16">
        <v>153</v>
      </c>
      <c r="M347" s="28">
        <f t="shared" ca="1" si="39"/>
        <v>138</v>
      </c>
      <c r="N347" s="28">
        <f t="shared" ca="1" si="40"/>
        <v>158</v>
      </c>
      <c r="O347" s="42">
        <f t="shared" ca="1" si="41"/>
        <v>1</v>
      </c>
    </row>
    <row r="348" spans="11:15" x14ac:dyDescent="0.25">
      <c r="K348" s="15" t="s">
        <v>1097</v>
      </c>
      <c r="L348" s="16">
        <v>137</v>
      </c>
      <c r="M348" s="28">
        <f t="shared" ca="1" si="39"/>
        <v>138</v>
      </c>
      <c r="N348" s="28">
        <f t="shared" ca="1" si="40"/>
        <v>158</v>
      </c>
      <c r="O348" s="42">
        <f t="shared" ca="1" si="41"/>
        <v>0</v>
      </c>
    </row>
    <row r="349" spans="11:15" x14ac:dyDescent="0.25">
      <c r="K349" s="15" t="s">
        <v>1098</v>
      </c>
      <c r="L349" s="16">
        <v>150</v>
      </c>
      <c r="M349" s="28">
        <f t="shared" ca="1" si="39"/>
        <v>138</v>
      </c>
      <c r="N349" s="28">
        <f t="shared" ca="1" si="40"/>
        <v>158</v>
      </c>
      <c r="O349" s="42">
        <f t="shared" ca="1" si="41"/>
        <v>1</v>
      </c>
    </row>
    <row r="350" spans="11:15" x14ac:dyDescent="0.25">
      <c r="K350" s="15" t="s">
        <v>1099</v>
      </c>
      <c r="L350" s="16">
        <v>162</v>
      </c>
      <c r="M350" s="28">
        <f t="shared" ca="1" si="39"/>
        <v>138</v>
      </c>
      <c r="N350" s="28">
        <f t="shared" ca="1" si="40"/>
        <v>158</v>
      </c>
      <c r="O350" s="42">
        <f t="shared" ca="1" si="41"/>
        <v>0</v>
      </c>
    </row>
    <row r="351" spans="11:15" x14ac:dyDescent="0.25">
      <c r="K351" s="15" t="s">
        <v>1100</v>
      </c>
      <c r="L351" s="16">
        <v>150</v>
      </c>
      <c r="M351" s="28">
        <f t="shared" ca="1" si="39"/>
        <v>138</v>
      </c>
      <c r="N351" s="28">
        <f t="shared" ca="1" si="40"/>
        <v>158</v>
      </c>
      <c r="O351" s="42">
        <f t="shared" ca="1" si="41"/>
        <v>1</v>
      </c>
    </row>
    <row r="352" spans="11:15" x14ac:dyDescent="0.25">
      <c r="K352" s="15" t="s">
        <v>1101</v>
      </c>
      <c r="L352" s="16">
        <v>160</v>
      </c>
      <c r="M352" s="28">
        <f t="shared" ca="1" si="39"/>
        <v>138</v>
      </c>
      <c r="N352" s="28">
        <f t="shared" ca="1" si="40"/>
        <v>158</v>
      </c>
      <c r="O352" s="42">
        <f t="shared" ca="1" si="41"/>
        <v>0</v>
      </c>
    </row>
    <row r="353" spans="11:15" x14ac:dyDescent="0.25">
      <c r="K353" s="15" t="s">
        <v>1102</v>
      </c>
      <c r="L353" s="16">
        <v>149</v>
      </c>
      <c r="M353" s="28">
        <f t="shared" ca="1" si="39"/>
        <v>138</v>
      </c>
      <c r="N353" s="28">
        <f t="shared" ca="1" si="40"/>
        <v>158</v>
      </c>
      <c r="O353" s="42">
        <f t="shared" ca="1" si="41"/>
        <v>1</v>
      </c>
    </row>
    <row r="354" spans="11:15" x14ac:dyDescent="0.25">
      <c r="K354" s="15" t="s">
        <v>1103</v>
      </c>
      <c r="L354" s="16">
        <v>116</v>
      </c>
      <c r="M354" s="28">
        <f t="shared" ca="1" si="39"/>
        <v>138</v>
      </c>
      <c r="N354" s="28">
        <f t="shared" ca="1" si="40"/>
        <v>158</v>
      </c>
      <c r="O354" s="42">
        <f t="shared" ca="1" si="41"/>
        <v>0</v>
      </c>
    </row>
    <row r="355" spans="11:15" x14ac:dyDescent="0.25">
      <c r="K355" s="15" t="s">
        <v>1104</v>
      </c>
      <c r="L355" s="16">
        <v>138</v>
      </c>
      <c r="M355" s="28">
        <f t="shared" ca="1" si="39"/>
        <v>138</v>
      </c>
      <c r="N355" s="28">
        <f t="shared" ca="1" si="40"/>
        <v>158</v>
      </c>
      <c r="O355" s="42">
        <f t="shared" ca="1" si="41"/>
        <v>1</v>
      </c>
    </row>
    <row r="356" spans="11:15" x14ac:dyDescent="0.25">
      <c r="K356" s="15" t="s">
        <v>1105</v>
      </c>
      <c r="L356" s="16">
        <v>151</v>
      </c>
      <c r="M356" s="28">
        <f t="shared" ca="1" si="39"/>
        <v>138</v>
      </c>
      <c r="N356" s="28">
        <f t="shared" ca="1" si="40"/>
        <v>158</v>
      </c>
      <c r="O356" s="42">
        <f t="shared" ca="1" si="41"/>
        <v>1</v>
      </c>
    </row>
    <row r="357" spans="11:15" x14ac:dyDescent="0.25">
      <c r="K357" s="15" t="s">
        <v>1106</v>
      </c>
      <c r="L357" s="16">
        <v>150</v>
      </c>
      <c r="M357" s="28">
        <f t="shared" ca="1" si="39"/>
        <v>138</v>
      </c>
      <c r="N357" s="28">
        <f t="shared" ca="1" si="40"/>
        <v>158</v>
      </c>
      <c r="O357" s="42">
        <f t="shared" ca="1" si="41"/>
        <v>1</v>
      </c>
    </row>
    <row r="358" spans="11:15" x14ac:dyDescent="0.25">
      <c r="K358" s="15" t="s">
        <v>1107</v>
      </c>
      <c r="L358" s="16">
        <v>144</v>
      </c>
      <c r="M358" s="28">
        <f t="shared" ca="1" si="39"/>
        <v>138</v>
      </c>
      <c r="N358" s="28">
        <f t="shared" ca="1" si="40"/>
        <v>158</v>
      </c>
      <c r="O358" s="42">
        <f t="shared" ca="1" si="41"/>
        <v>1</v>
      </c>
    </row>
    <row r="359" spans="11:15" x14ac:dyDescent="0.25">
      <c r="K359" s="15" t="s">
        <v>1108</v>
      </c>
      <c r="L359" s="16">
        <v>155</v>
      </c>
      <c r="M359" s="28">
        <f t="shared" ca="1" si="39"/>
        <v>138</v>
      </c>
      <c r="N359" s="28">
        <f t="shared" ca="1" si="40"/>
        <v>158</v>
      </c>
      <c r="O359" s="42">
        <f t="shared" ca="1" si="41"/>
        <v>1</v>
      </c>
    </row>
    <row r="360" spans="11:15" x14ac:dyDescent="0.25">
      <c r="K360" s="15" t="s">
        <v>1109</v>
      </c>
      <c r="L360" s="16">
        <v>146</v>
      </c>
      <c r="M360" s="28">
        <f t="shared" ca="1" si="39"/>
        <v>138</v>
      </c>
      <c r="N360" s="28">
        <f t="shared" ca="1" si="40"/>
        <v>158</v>
      </c>
      <c r="O360" s="42">
        <f t="shared" ca="1" si="41"/>
        <v>1</v>
      </c>
    </row>
    <row r="361" spans="11:15" x14ac:dyDescent="0.25">
      <c r="K361" s="15" t="s">
        <v>1110</v>
      </c>
      <c r="L361" s="16">
        <v>140</v>
      </c>
      <c r="M361" s="28">
        <f t="shared" ca="1" si="39"/>
        <v>138</v>
      </c>
      <c r="N361" s="28">
        <f t="shared" ca="1" si="40"/>
        <v>158</v>
      </c>
      <c r="O361" s="42">
        <f t="shared" ca="1" si="41"/>
        <v>1</v>
      </c>
    </row>
    <row r="362" spans="11:15" x14ac:dyDescent="0.25">
      <c r="K362" s="15" t="s">
        <v>1111</v>
      </c>
      <c r="L362" s="16">
        <v>143</v>
      </c>
      <c r="M362" s="28">
        <f t="shared" ca="1" si="39"/>
        <v>138</v>
      </c>
      <c r="N362" s="28">
        <f t="shared" ca="1" si="40"/>
        <v>158</v>
      </c>
      <c r="O362" s="42">
        <f t="shared" ca="1" si="41"/>
        <v>1</v>
      </c>
    </row>
    <row r="363" spans="11:15" x14ac:dyDescent="0.25">
      <c r="K363" s="15" t="s">
        <v>1112</v>
      </c>
      <c r="L363" s="16">
        <v>152</v>
      </c>
      <c r="M363" s="28">
        <f t="shared" ca="1" si="39"/>
        <v>138</v>
      </c>
      <c r="N363" s="28">
        <f t="shared" ca="1" si="40"/>
        <v>158</v>
      </c>
      <c r="O363" s="42">
        <f t="shared" ca="1" si="41"/>
        <v>1</v>
      </c>
    </row>
    <row r="364" spans="11:15" x14ac:dyDescent="0.25">
      <c r="K364" s="15" t="s">
        <v>1113</v>
      </c>
      <c r="L364" s="16">
        <v>159</v>
      </c>
      <c r="M364" s="28">
        <f t="shared" ca="1" si="39"/>
        <v>138</v>
      </c>
      <c r="N364" s="28">
        <f t="shared" ca="1" si="40"/>
        <v>158</v>
      </c>
      <c r="O364" s="42">
        <f t="shared" ca="1" si="41"/>
        <v>0</v>
      </c>
    </row>
    <row r="365" spans="11:15" x14ac:dyDescent="0.25">
      <c r="K365" s="15" t="s">
        <v>1114</v>
      </c>
      <c r="L365" s="16">
        <v>149</v>
      </c>
      <c r="M365" s="28">
        <f t="shared" ca="1" si="39"/>
        <v>138</v>
      </c>
      <c r="N365" s="28">
        <f t="shared" ca="1" si="40"/>
        <v>158</v>
      </c>
      <c r="O365" s="42">
        <f t="shared" ca="1" si="41"/>
        <v>1</v>
      </c>
    </row>
    <row r="366" spans="11:15" x14ac:dyDescent="0.25">
      <c r="K366" s="15" t="s">
        <v>1115</v>
      </c>
      <c r="L366" s="16">
        <v>141</v>
      </c>
      <c r="M366" s="28">
        <f t="shared" ca="1" si="39"/>
        <v>138</v>
      </c>
      <c r="N366" s="28">
        <f t="shared" ca="1" si="40"/>
        <v>158</v>
      </c>
      <c r="O366" s="42">
        <f t="shared" ca="1" si="41"/>
        <v>1</v>
      </c>
    </row>
    <row r="367" spans="11:15" x14ac:dyDescent="0.25">
      <c r="K367" s="15" t="s">
        <v>1116</v>
      </c>
      <c r="L367" s="16">
        <v>158</v>
      </c>
      <c r="M367" s="28">
        <f t="shared" ca="1" si="39"/>
        <v>138</v>
      </c>
      <c r="N367" s="28">
        <f t="shared" ca="1" si="40"/>
        <v>158</v>
      </c>
      <c r="O367" s="42">
        <f t="shared" ca="1" si="41"/>
        <v>1</v>
      </c>
    </row>
    <row r="368" spans="11:15" x14ac:dyDescent="0.25">
      <c r="K368" s="15" t="s">
        <v>1117</v>
      </c>
      <c r="L368" s="16">
        <v>145</v>
      </c>
      <c r="M368" s="28">
        <f t="shared" ca="1" si="39"/>
        <v>138</v>
      </c>
      <c r="N368" s="28">
        <f t="shared" ca="1" si="40"/>
        <v>158</v>
      </c>
      <c r="O368" s="42">
        <f t="shared" ca="1" si="41"/>
        <v>1</v>
      </c>
    </row>
    <row r="369" spans="11:15" x14ac:dyDescent="0.25">
      <c r="K369" s="15" t="s">
        <v>1118</v>
      </c>
      <c r="L369" s="16">
        <v>149</v>
      </c>
      <c r="M369" s="28">
        <f t="shared" ca="1" si="39"/>
        <v>138</v>
      </c>
      <c r="N369" s="28">
        <f t="shared" ca="1" si="40"/>
        <v>158</v>
      </c>
      <c r="O369" s="42">
        <f t="shared" ca="1" si="41"/>
        <v>1</v>
      </c>
    </row>
    <row r="370" spans="11:15" x14ac:dyDescent="0.25">
      <c r="K370" s="15" t="s">
        <v>1119</v>
      </c>
      <c r="L370" s="16">
        <v>151</v>
      </c>
      <c r="M370" s="28">
        <f t="shared" ca="1" si="39"/>
        <v>138</v>
      </c>
      <c r="N370" s="28">
        <f t="shared" ca="1" si="40"/>
        <v>158</v>
      </c>
      <c r="O370" s="42">
        <f t="shared" ca="1" si="41"/>
        <v>1</v>
      </c>
    </row>
    <row r="371" spans="11:15" x14ac:dyDescent="0.25">
      <c r="K371" s="15" t="s">
        <v>1120</v>
      </c>
      <c r="L371" s="16">
        <v>144</v>
      </c>
      <c r="M371" s="28">
        <f t="shared" ca="1" si="39"/>
        <v>138</v>
      </c>
      <c r="N371" s="28">
        <f t="shared" ca="1" si="40"/>
        <v>158</v>
      </c>
      <c r="O371" s="42">
        <f t="shared" ca="1" si="41"/>
        <v>1</v>
      </c>
    </row>
    <row r="372" spans="11:15" x14ac:dyDescent="0.25">
      <c r="K372" s="15" t="s">
        <v>1121</v>
      </c>
      <c r="L372" s="16">
        <v>155</v>
      </c>
      <c r="M372" s="28">
        <f t="shared" ca="1" si="39"/>
        <v>138</v>
      </c>
      <c r="N372" s="28">
        <f t="shared" ca="1" si="40"/>
        <v>158</v>
      </c>
      <c r="O372" s="42">
        <f t="shared" ca="1" si="41"/>
        <v>1</v>
      </c>
    </row>
    <row r="373" spans="11:15" x14ac:dyDescent="0.25">
      <c r="K373" s="15" t="s">
        <v>1122</v>
      </c>
      <c r="L373" s="16">
        <v>156</v>
      </c>
      <c r="M373" s="28">
        <f t="shared" ca="1" si="39"/>
        <v>138</v>
      </c>
      <c r="N373" s="28">
        <f t="shared" ca="1" si="40"/>
        <v>158</v>
      </c>
      <c r="O373" s="42">
        <f t="shared" ca="1" si="41"/>
        <v>1</v>
      </c>
    </row>
    <row r="374" spans="11:15" x14ac:dyDescent="0.25">
      <c r="K374" s="15" t="s">
        <v>1123</v>
      </c>
      <c r="L374" s="16">
        <v>146</v>
      </c>
      <c r="M374" s="28">
        <f t="shared" ca="1" si="39"/>
        <v>138</v>
      </c>
      <c r="N374" s="28">
        <f t="shared" ca="1" si="40"/>
        <v>158</v>
      </c>
      <c r="O374" s="42">
        <f t="shared" ca="1" si="41"/>
        <v>1</v>
      </c>
    </row>
    <row r="375" spans="11:15" x14ac:dyDescent="0.25">
      <c r="K375" s="15" t="s">
        <v>1124</v>
      </c>
      <c r="L375" s="16">
        <v>159</v>
      </c>
      <c r="M375" s="28">
        <f t="shared" ca="1" si="39"/>
        <v>138</v>
      </c>
      <c r="N375" s="28">
        <f t="shared" ca="1" si="40"/>
        <v>158</v>
      </c>
      <c r="O375" s="42">
        <f t="shared" ca="1" si="41"/>
        <v>0</v>
      </c>
    </row>
    <row r="376" spans="11:15" x14ac:dyDescent="0.25">
      <c r="K376" s="15" t="s">
        <v>1125</v>
      </c>
      <c r="L376" s="16">
        <v>155</v>
      </c>
      <c r="M376" s="28">
        <f t="shared" ca="1" si="39"/>
        <v>138</v>
      </c>
      <c r="N376" s="28">
        <f t="shared" ca="1" si="40"/>
        <v>158</v>
      </c>
      <c r="O376" s="42">
        <f t="shared" ca="1" si="41"/>
        <v>1</v>
      </c>
    </row>
    <row r="377" spans="11:15" x14ac:dyDescent="0.25">
      <c r="K377" s="15" t="s">
        <v>1126</v>
      </c>
      <c r="L377" s="16">
        <v>161</v>
      </c>
      <c r="M377" s="28">
        <f t="shared" ca="1" si="39"/>
        <v>138</v>
      </c>
      <c r="N377" s="28">
        <f t="shared" ca="1" si="40"/>
        <v>158</v>
      </c>
      <c r="O377" s="42">
        <f t="shared" ca="1" si="41"/>
        <v>0</v>
      </c>
    </row>
    <row r="378" spans="11:15" x14ac:dyDescent="0.25">
      <c r="K378" s="15" t="s">
        <v>1127</v>
      </c>
      <c r="L378" s="16">
        <v>163</v>
      </c>
      <c r="M378" s="28">
        <f t="shared" ca="1" si="39"/>
        <v>138</v>
      </c>
      <c r="N378" s="28">
        <f t="shared" ca="1" si="40"/>
        <v>158</v>
      </c>
      <c r="O378" s="42">
        <f t="shared" ca="1" si="41"/>
        <v>0</v>
      </c>
    </row>
    <row r="379" spans="11:15" x14ac:dyDescent="0.25">
      <c r="K379" s="15" t="s">
        <v>1128</v>
      </c>
      <c r="L379" s="16">
        <v>143</v>
      </c>
      <c r="M379" s="28">
        <f t="shared" ca="1" si="39"/>
        <v>138</v>
      </c>
      <c r="N379" s="28">
        <f t="shared" ca="1" si="40"/>
        <v>158</v>
      </c>
      <c r="O379" s="42">
        <f t="shared" ca="1" si="41"/>
        <v>1</v>
      </c>
    </row>
    <row r="380" spans="11:15" x14ac:dyDescent="0.25">
      <c r="K380" s="15" t="s">
        <v>1129</v>
      </c>
      <c r="L380" s="16">
        <v>149</v>
      </c>
      <c r="M380" s="28">
        <f t="shared" ca="1" si="39"/>
        <v>138</v>
      </c>
      <c r="N380" s="28">
        <f t="shared" ca="1" si="40"/>
        <v>158</v>
      </c>
      <c r="O380" s="42">
        <f t="shared" ca="1" si="41"/>
        <v>1</v>
      </c>
    </row>
    <row r="381" spans="11:15" x14ac:dyDescent="0.25">
      <c r="K381" s="15" t="s">
        <v>1130</v>
      </c>
      <c r="L381" s="16">
        <v>165</v>
      </c>
      <c r="M381" s="28">
        <f t="shared" ca="1" si="39"/>
        <v>138</v>
      </c>
      <c r="N381" s="28">
        <f t="shared" ca="1" si="40"/>
        <v>158</v>
      </c>
      <c r="O381" s="42">
        <f t="shared" ca="1" si="41"/>
        <v>0</v>
      </c>
    </row>
    <row r="382" spans="11:15" x14ac:dyDescent="0.25">
      <c r="K382" s="15" t="s">
        <v>1131</v>
      </c>
      <c r="L382" s="16">
        <v>162</v>
      </c>
      <c r="M382" s="28">
        <f t="shared" ca="1" si="39"/>
        <v>138</v>
      </c>
      <c r="N382" s="28">
        <f t="shared" ca="1" si="40"/>
        <v>158</v>
      </c>
      <c r="O382" s="42">
        <f t="shared" ca="1" si="41"/>
        <v>0</v>
      </c>
    </row>
    <row r="383" spans="11:15" x14ac:dyDescent="0.25">
      <c r="K383" s="15" t="s">
        <v>1132</v>
      </c>
      <c r="L383" s="16">
        <v>154</v>
      </c>
      <c r="M383" s="28">
        <f t="shared" ca="1" si="39"/>
        <v>138</v>
      </c>
      <c r="N383" s="28">
        <f t="shared" ca="1" si="40"/>
        <v>158</v>
      </c>
      <c r="O383" s="42">
        <f t="shared" ca="1" si="41"/>
        <v>1</v>
      </c>
    </row>
    <row r="384" spans="11:15" x14ac:dyDescent="0.25">
      <c r="K384" s="15" t="s">
        <v>1133</v>
      </c>
      <c r="L384" s="16">
        <v>153</v>
      </c>
      <c r="M384" s="28">
        <f t="shared" ca="1" si="39"/>
        <v>138</v>
      </c>
      <c r="N384" s="28">
        <f t="shared" ca="1" si="40"/>
        <v>158</v>
      </c>
      <c r="O384" s="42">
        <f t="shared" ca="1" si="41"/>
        <v>1</v>
      </c>
    </row>
    <row r="385" spans="11:15" x14ac:dyDescent="0.25">
      <c r="K385" s="15" t="s">
        <v>1134</v>
      </c>
      <c r="L385" s="16">
        <v>135</v>
      </c>
      <c r="M385" s="28">
        <f t="shared" ca="1" si="39"/>
        <v>138</v>
      </c>
      <c r="N385" s="28">
        <f t="shared" ca="1" si="40"/>
        <v>158</v>
      </c>
      <c r="O385" s="42">
        <f t="shared" ca="1" si="41"/>
        <v>0</v>
      </c>
    </row>
    <row r="386" spans="11:15" x14ac:dyDescent="0.25">
      <c r="K386" s="15" t="s">
        <v>1135</v>
      </c>
      <c r="L386" s="16">
        <v>142</v>
      </c>
      <c r="M386" s="28">
        <f t="shared" ca="1" si="39"/>
        <v>138</v>
      </c>
      <c r="N386" s="28">
        <f t="shared" ca="1" si="40"/>
        <v>158</v>
      </c>
      <c r="O386" s="42">
        <f t="shared" ca="1" si="41"/>
        <v>1</v>
      </c>
    </row>
    <row r="387" spans="11:15" x14ac:dyDescent="0.25">
      <c r="K387" s="15" t="s">
        <v>1136</v>
      </c>
      <c r="L387" s="16">
        <v>151</v>
      </c>
      <c r="M387" s="28">
        <f t="shared" ca="1" si="39"/>
        <v>138</v>
      </c>
      <c r="N387" s="28">
        <f t="shared" ca="1" si="40"/>
        <v>158</v>
      </c>
      <c r="O387" s="42">
        <f t="shared" ca="1" si="41"/>
        <v>1</v>
      </c>
    </row>
    <row r="388" spans="11:15" x14ac:dyDescent="0.25">
      <c r="K388" s="15" t="s">
        <v>1137</v>
      </c>
      <c r="L388" s="16">
        <v>140</v>
      </c>
      <c r="M388" s="28">
        <f t="shared" ca="1" si="39"/>
        <v>138</v>
      </c>
      <c r="N388" s="28">
        <f t="shared" ca="1" si="40"/>
        <v>158</v>
      </c>
      <c r="O388" s="42">
        <f t="shared" ca="1" si="41"/>
        <v>1</v>
      </c>
    </row>
    <row r="389" spans="11:15" x14ac:dyDescent="0.25">
      <c r="K389" s="15" t="s">
        <v>1138</v>
      </c>
      <c r="L389" s="16">
        <v>157</v>
      </c>
      <c r="M389" s="28">
        <f t="shared" ca="1" si="39"/>
        <v>138</v>
      </c>
      <c r="N389" s="28">
        <f t="shared" ca="1" si="40"/>
        <v>158</v>
      </c>
      <c r="O389" s="42">
        <f t="shared" ca="1" si="41"/>
        <v>1</v>
      </c>
    </row>
    <row r="390" spans="11:15" x14ac:dyDescent="0.25">
      <c r="K390" s="15" t="s">
        <v>1139</v>
      </c>
      <c r="L390" s="16">
        <v>139</v>
      </c>
      <c r="M390" s="28">
        <f t="shared" ca="1" si="39"/>
        <v>138</v>
      </c>
      <c r="N390" s="28">
        <f t="shared" ca="1" si="40"/>
        <v>158</v>
      </c>
      <c r="O390" s="42">
        <f t="shared" ca="1" si="41"/>
        <v>1</v>
      </c>
    </row>
    <row r="391" spans="11:15" x14ac:dyDescent="0.25">
      <c r="K391" s="15" t="s">
        <v>1140</v>
      </c>
      <c r="L391" s="16">
        <v>149</v>
      </c>
      <c r="M391" s="28">
        <f t="shared" ca="1" si="39"/>
        <v>138</v>
      </c>
      <c r="N391" s="28">
        <f t="shared" ca="1" si="40"/>
        <v>158</v>
      </c>
      <c r="O391" s="42">
        <f t="shared" ca="1" si="41"/>
        <v>1</v>
      </c>
    </row>
    <row r="392" spans="11:15" x14ac:dyDescent="0.25">
      <c r="K392" s="15" t="s">
        <v>1141</v>
      </c>
      <c r="L392" s="16">
        <v>141</v>
      </c>
      <c r="M392" s="28">
        <f t="shared" ca="1" si="39"/>
        <v>138</v>
      </c>
      <c r="N392" s="28">
        <f t="shared" ca="1" si="40"/>
        <v>158</v>
      </c>
      <c r="O392" s="42">
        <f t="shared" ca="1" si="41"/>
        <v>1</v>
      </c>
    </row>
    <row r="393" spans="11:15" x14ac:dyDescent="0.25">
      <c r="K393" s="15" t="s">
        <v>1142</v>
      </c>
      <c r="L393" s="16">
        <v>148</v>
      </c>
      <c r="M393" s="28">
        <f t="shared" ca="1" si="39"/>
        <v>138</v>
      </c>
      <c r="N393" s="28">
        <f t="shared" ca="1" si="40"/>
        <v>158</v>
      </c>
      <c r="O393" s="42">
        <f t="shared" ca="1" si="41"/>
        <v>1</v>
      </c>
    </row>
    <row r="394" spans="11:15" x14ac:dyDescent="0.25">
      <c r="K394" s="15" t="s">
        <v>1143</v>
      </c>
      <c r="L394" s="16">
        <v>139</v>
      </c>
      <c r="M394" s="28">
        <f t="shared" ca="1" si="39"/>
        <v>138</v>
      </c>
      <c r="N394" s="28">
        <f t="shared" ca="1" si="40"/>
        <v>158</v>
      </c>
      <c r="O394" s="42">
        <f t="shared" ca="1" si="41"/>
        <v>1</v>
      </c>
    </row>
    <row r="395" spans="11:15" x14ac:dyDescent="0.25">
      <c r="K395" s="15" t="s">
        <v>1144</v>
      </c>
      <c r="L395" s="16">
        <v>144</v>
      </c>
      <c r="M395" s="28">
        <f t="shared" ref="M395:M458" ca="1" si="42">$I$14-epsilon</f>
        <v>138</v>
      </c>
      <c r="N395" s="28">
        <f t="shared" ref="N395:N458" ca="1" si="43">$I$14+epsilon</f>
        <v>158</v>
      </c>
      <c r="O395" s="42">
        <f t="shared" ca="1" si="41"/>
        <v>1</v>
      </c>
    </row>
    <row r="396" spans="11:15" x14ac:dyDescent="0.25">
      <c r="K396" s="15" t="s">
        <v>1145</v>
      </c>
      <c r="L396" s="16">
        <v>147</v>
      </c>
      <c r="M396" s="28">
        <f t="shared" ca="1" si="42"/>
        <v>138</v>
      </c>
      <c r="N396" s="28">
        <f t="shared" ca="1" si="43"/>
        <v>158</v>
      </c>
      <c r="O396" s="42">
        <f t="shared" ca="1" si="41"/>
        <v>1</v>
      </c>
    </row>
    <row r="397" spans="11:15" x14ac:dyDescent="0.25">
      <c r="K397" s="15" t="s">
        <v>1146</v>
      </c>
      <c r="L397" s="16">
        <v>156</v>
      </c>
      <c r="M397" s="28">
        <f t="shared" ca="1" si="42"/>
        <v>138</v>
      </c>
      <c r="N397" s="28">
        <f t="shared" ca="1" si="43"/>
        <v>158</v>
      </c>
      <c r="O397" s="42">
        <f t="shared" ref="O397:O460" ca="1" si="44">IF(AND(L397&gt;=M397,L397&lt;=N397),1,0)</f>
        <v>1</v>
      </c>
    </row>
    <row r="398" spans="11:15" x14ac:dyDescent="0.25">
      <c r="K398" s="15" t="s">
        <v>1147</v>
      </c>
      <c r="L398" s="16">
        <v>145</v>
      </c>
      <c r="M398" s="28">
        <f t="shared" ca="1" si="42"/>
        <v>138</v>
      </c>
      <c r="N398" s="28">
        <f t="shared" ca="1" si="43"/>
        <v>158</v>
      </c>
      <c r="O398" s="42">
        <f t="shared" ca="1" si="44"/>
        <v>1</v>
      </c>
    </row>
    <row r="399" spans="11:15" x14ac:dyDescent="0.25">
      <c r="K399" s="15" t="s">
        <v>1148</v>
      </c>
      <c r="L399" s="16">
        <v>159</v>
      </c>
      <c r="M399" s="28">
        <f t="shared" ca="1" si="42"/>
        <v>138</v>
      </c>
      <c r="N399" s="28">
        <f t="shared" ca="1" si="43"/>
        <v>158</v>
      </c>
      <c r="O399" s="42">
        <f t="shared" ca="1" si="44"/>
        <v>0</v>
      </c>
    </row>
    <row r="400" spans="11:15" x14ac:dyDescent="0.25">
      <c r="K400" s="15" t="s">
        <v>1149</v>
      </c>
      <c r="L400" s="16">
        <v>146</v>
      </c>
      <c r="M400" s="28">
        <f t="shared" ca="1" si="42"/>
        <v>138</v>
      </c>
      <c r="N400" s="28">
        <f t="shared" ca="1" si="43"/>
        <v>158</v>
      </c>
      <c r="O400" s="42">
        <f t="shared" ca="1" si="44"/>
        <v>1</v>
      </c>
    </row>
    <row r="401" spans="11:15" x14ac:dyDescent="0.25">
      <c r="K401" s="15" t="s">
        <v>1150</v>
      </c>
      <c r="L401" s="16">
        <v>160</v>
      </c>
      <c r="M401" s="28">
        <f t="shared" ca="1" si="42"/>
        <v>138</v>
      </c>
      <c r="N401" s="28">
        <f t="shared" ca="1" si="43"/>
        <v>158</v>
      </c>
      <c r="O401" s="42">
        <f t="shared" ca="1" si="44"/>
        <v>0</v>
      </c>
    </row>
    <row r="402" spans="11:15" x14ac:dyDescent="0.25">
      <c r="K402" s="15" t="s">
        <v>1151</v>
      </c>
      <c r="L402" s="16">
        <v>145</v>
      </c>
      <c r="M402" s="28">
        <f t="shared" ca="1" si="42"/>
        <v>138</v>
      </c>
      <c r="N402" s="28">
        <f t="shared" ca="1" si="43"/>
        <v>158</v>
      </c>
      <c r="O402" s="42">
        <f t="shared" ca="1" si="44"/>
        <v>1</v>
      </c>
    </row>
    <row r="403" spans="11:15" x14ac:dyDescent="0.25">
      <c r="K403" s="15" t="s">
        <v>1152</v>
      </c>
      <c r="L403" s="16">
        <v>139</v>
      </c>
      <c r="M403" s="28">
        <f t="shared" ca="1" si="42"/>
        <v>138</v>
      </c>
      <c r="N403" s="28">
        <f t="shared" ca="1" si="43"/>
        <v>158</v>
      </c>
      <c r="O403" s="42">
        <f t="shared" ca="1" si="44"/>
        <v>1</v>
      </c>
    </row>
    <row r="404" spans="11:15" x14ac:dyDescent="0.25">
      <c r="K404" s="15" t="s">
        <v>1153</v>
      </c>
      <c r="L404" s="16">
        <v>156</v>
      </c>
      <c r="M404" s="28">
        <f t="shared" ca="1" si="42"/>
        <v>138</v>
      </c>
      <c r="N404" s="28">
        <f t="shared" ca="1" si="43"/>
        <v>158</v>
      </c>
      <c r="O404" s="42">
        <f t="shared" ca="1" si="44"/>
        <v>1</v>
      </c>
    </row>
    <row r="405" spans="11:15" x14ac:dyDescent="0.25">
      <c r="K405" s="15" t="s">
        <v>1154</v>
      </c>
      <c r="L405" s="16">
        <v>131</v>
      </c>
      <c r="M405" s="28">
        <f t="shared" ca="1" si="42"/>
        <v>138</v>
      </c>
      <c r="N405" s="28">
        <f t="shared" ca="1" si="43"/>
        <v>158</v>
      </c>
      <c r="O405" s="42">
        <f t="shared" ca="1" si="44"/>
        <v>0</v>
      </c>
    </row>
    <row r="406" spans="11:15" x14ac:dyDescent="0.25">
      <c r="K406" s="15" t="s">
        <v>1155</v>
      </c>
      <c r="L406" s="16">
        <v>139</v>
      </c>
      <c r="M406" s="28">
        <f t="shared" ca="1" si="42"/>
        <v>138</v>
      </c>
      <c r="N406" s="28">
        <f t="shared" ca="1" si="43"/>
        <v>158</v>
      </c>
      <c r="O406" s="42">
        <f t="shared" ca="1" si="44"/>
        <v>1</v>
      </c>
    </row>
    <row r="407" spans="11:15" x14ac:dyDescent="0.25">
      <c r="K407" s="15" t="s">
        <v>1156</v>
      </c>
      <c r="L407" s="16">
        <v>147</v>
      </c>
      <c r="M407" s="28">
        <f t="shared" ca="1" si="42"/>
        <v>138</v>
      </c>
      <c r="N407" s="28">
        <f t="shared" ca="1" si="43"/>
        <v>158</v>
      </c>
      <c r="O407" s="42">
        <f t="shared" ca="1" si="44"/>
        <v>1</v>
      </c>
    </row>
    <row r="408" spans="11:15" x14ac:dyDescent="0.25">
      <c r="K408" s="15" t="s">
        <v>1157</v>
      </c>
      <c r="L408" s="16">
        <v>153</v>
      </c>
      <c r="M408" s="28">
        <f t="shared" ca="1" si="42"/>
        <v>138</v>
      </c>
      <c r="N408" s="28">
        <f t="shared" ca="1" si="43"/>
        <v>158</v>
      </c>
      <c r="O408" s="42">
        <f t="shared" ca="1" si="44"/>
        <v>1</v>
      </c>
    </row>
    <row r="409" spans="11:15" x14ac:dyDescent="0.25">
      <c r="K409" s="15" t="s">
        <v>1158</v>
      </c>
      <c r="L409" s="16">
        <v>142</v>
      </c>
      <c r="M409" s="28">
        <f t="shared" ca="1" si="42"/>
        <v>138</v>
      </c>
      <c r="N409" s="28">
        <f t="shared" ca="1" si="43"/>
        <v>158</v>
      </c>
      <c r="O409" s="42">
        <f t="shared" ca="1" si="44"/>
        <v>1</v>
      </c>
    </row>
    <row r="410" spans="11:15" x14ac:dyDescent="0.25">
      <c r="K410" s="15" t="s">
        <v>1159</v>
      </c>
      <c r="L410" s="16">
        <v>151</v>
      </c>
      <c r="M410" s="28">
        <f t="shared" ca="1" si="42"/>
        <v>138</v>
      </c>
      <c r="N410" s="28">
        <f t="shared" ca="1" si="43"/>
        <v>158</v>
      </c>
      <c r="O410" s="42">
        <f t="shared" ca="1" si="44"/>
        <v>1</v>
      </c>
    </row>
    <row r="411" spans="11:15" x14ac:dyDescent="0.25">
      <c r="K411" s="15" t="s">
        <v>1160</v>
      </c>
      <c r="L411" s="16">
        <v>154</v>
      </c>
      <c r="M411" s="28">
        <f t="shared" ca="1" si="42"/>
        <v>138</v>
      </c>
      <c r="N411" s="28">
        <f t="shared" ca="1" si="43"/>
        <v>158</v>
      </c>
      <c r="O411" s="42">
        <f t="shared" ca="1" si="44"/>
        <v>1</v>
      </c>
    </row>
    <row r="412" spans="11:15" x14ac:dyDescent="0.25">
      <c r="K412" s="15" t="s">
        <v>1161</v>
      </c>
      <c r="L412" s="16">
        <v>143</v>
      </c>
      <c r="M412" s="28">
        <f t="shared" ca="1" si="42"/>
        <v>138</v>
      </c>
      <c r="N412" s="28">
        <f t="shared" ca="1" si="43"/>
        <v>158</v>
      </c>
      <c r="O412" s="42">
        <f t="shared" ca="1" si="44"/>
        <v>1</v>
      </c>
    </row>
    <row r="413" spans="11:15" x14ac:dyDescent="0.25">
      <c r="K413" s="15" t="s">
        <v>1162</v>
      </c>
      <c r="L413" s="16">
        <v>149</v>
      </c>
      <c r="M413" s="28">
        <f t="shared" ca="1" si="42"/>
        <v>138</v>
      </c>
      <c r="N413" s="28">
        <f t="shared" ca="1" si="43"/>
        <v>158</v>
      </c>
      <c r="O413" s="42">
        <f t="shared" ca="1" si="44"/>
        <v>1</v>
      </c>
    </row>
    <row r="414" spans="11:15" x14ac:dyDescent="0.25">
      <c r="K414" s="15" t="s">
        <v>1163</v>
      </c>
      <c r="L414" s="16">
        <v>134</v>
      </c>
      <c r="M414" s="28">
        <f t="shared" ca="1" si="42"/>
        <v>138</v>
      </c>
      <c r="N414" s="28">
        <f t="shared" ca="1" si="43"/>
        <v>158</v>
      </c>
      <c r="O414" s="42">
        <f t="shared" ca="1" si="44"/>
        <v>0</v>
      </c>
    </row>
    <row r="415" spans="11:15" x14ac:dyDescent="0.25">
      <c r="K415" s="15" t="s">
        <v>1164</v>
      </c>
      <c r="L415" s="16">
        <v>134</v>
      </c>
      <c r="M415" s="28">
        <f t="shared" ca="1" si="42"/>
        <v>138</v>
      </c>
      <c r="N415" s="28">
        <f t="shared" ca="1" si="43"/>
        <v>158</v>
      </c>
      <c r="O415" s="42">
        <f t="shared" ca="1" si="44"/>
        <v>0</v>
      </c>
    </row>
    <row r="416" spans="11:15" x14ac:dyDescent="0.25">
      <c r="K416" s="15" t="s">
        <v>1165</v>
      </c>
      <c r="L416" s="16">
        <v>144</v>
      </c>
      <c r="M416" s="28">
        <f t="shared" ca="1" si="42"/>
        <v>138</v>
      </c>
      <c r="N416" s="28">
        <f t="shared" ca="1" si="43"/>
        <v>158</v>
      </c>
      <c r="O416" s="42">
        <f t="shared" ca="1" si="44"/>
        <v>1</v>
      </c>
    </row>
    <row r="417" spans="11:15" x14ac:dyDescent="0.25">
      <c r="K417" s="15" t="s">
        <v>1166</v>
      </c>
      <c r="L417" s="16">
        <v>147</v>
      </c>
      <c r="M417" s="28">
        <f t="shared" ca="1" si="42"/>
        <v>138</v>
      </c>
      <c r="N417" s="28">
        <f t="shared" ca="1" si="43"/>
        <v>158</v>
      </c>
      <c r="O417" s="42">
        <f t="shared" ca="1" si="44"/>
        <v>1</v>
      </c>
    </row>
    <row r="418" spans="11:15" x14ac:dyDescent="0.25">
      <c r="K418" s="15" t="s">
        <v>1167</v>
      </c>
      <c r="L418" s="16">
        <v>146</v>
      </c>
      <c r="M418" s="28">
        <f t="shared" ca="1" si="42"/>
        <v>138</v>
      </c>
      <c r="N418" s="28">
        <f t="shared" ca="1" si="43"/>
        <v>158</v>
      </c>
      <c r="O418" s="42">
        <f t="shared" ca="1" si="44"/>
        <v>1</v>
      </c>
    </row>
    <row r="419" spans="11:15" x14ac:dyDescent="0.25">
      <c r="K419" s="15" t="s">
        <v>1168</v>
      </c>
      <c r="L419" s="16">
        <v>142</v>
      </c>
      <c r="M419" s="28">
        <f t="shared" ca="1" si="42"/>
        <v>138</v>
      </c>
      <c r="N419" s="28">
        <f t="shared" ca="1" si="43"/>
        <v>158</v>
      </c>
      <c r="O419" s="42">
        <f t="shared" ca="1" si="44"/>
        <v>1</v>
      </c>
    </row>
    <row r="420" spans="11:15" x14ac:dyDescent="0.25">
      <c r="K420" s="15" t="s">
        <v>1169</v>
      </c>
      <c r="L420" s="16">
        <v>151</v>
      </c>
      <c r="M420" s="28">
        <f t="shared" ca="1" si="42"/>
        <v>138</v>
      </c>
      <c r="N420" s="28">
        <f t="shared" ca="1" si="43"/>
        <v>158</v>
      </c>
      <c r="O420" s="42">
        <f t="shared" ca="1" si="44"/>
        <v>1</v>
      </c>
    </row>
    <row r="421" spans="11:15" x14ac:dyDescent="0.25">
      <c r="K421" s="15" t="s">
        <v>1170</v>
      </c>
      <c r="L421" s="16">
        <v>158</v>
      </c>
      <c r="M421" s="28">
        <f t="shared" ca="1" si="42"/>
        <v>138</v>
      </c>
      <c r="N421" s="28">
        <f t="shared" ca="1" si="43"/>
        <v>158</v>
      </c>
      <c r="O421" s="42">
        <f t="shared" ca="1" si="44"/>
        <v>1</v>
      </c>
    </row>
    <row r="422" spans="11:15" x14ac:dyDescent="0.25">
      <c r="K422" s="15" t="s">
        <v>1171</v>
      </c>
      <c r="L422" s="16">
        <v>142</v>
      </c>
      <c r="M422" s="28">
        <f t="shared" ca="1" si="42"/>
        <v>138</v>
      </c>
      <c r="N422" s="28">
        <f t="shared" ca="1" si="43"/>
        <v>158</v>
      </c>
      <c r="O422" s="42">
        <f t="shared" ca="1" si="44"/>
        <v>1</v>
      </c>
    </row>
    <row r="423" spans="11:15" x14ac:dyDescent="0.25">
      <c r="K423" s="15" t="s">
        <v>1172</v>
      </c>
      <c r="L423" s="16">
        <v>156</v>
      </c>
      <c r="M423" s="28">
        <f t="shared" ca="1" si="42"/>
        <v>138</v>
      </c>
      <c r="N423" s="28">
        <f t="shared" ca="1" si="43"/>
        <v>158</v>
      </c>
      <c r="O423" s="42">
        <f t="shared" ca="1" si="44"/>
        <v>1</v>
      </c>
    </row>
    <row r="424" spans="11:15" x14ac:dyDescent="0.25">
      <c r="K424" s="15" t="s">
        <v>1173</v>
      </c>
      <c r="L424" s="16">
        <v>155</v>
      </c>
      <c r="M424" s="28">
        <f t="shared" ca="1" si="42"/>
        <v>138</v>
      </c>
      <c r="N424" s="28">
        <f t="shared" ca="1" si="43"/>
        <v>158</v>
      </c>
      <c r="O424" s="42">
        <f t="shared" ca="1" si="44"/>
        <v>1</v>
      </c>
    </row>
    <row r="425" spans="11:15" x14ac:dyDescent="0.25">
      <c r="K425" s="15" t="s">
        <v>1174</v>
      </c>
      <c r="L425" s="16">
        <v>152</v>
      </c>
      <c r="M425" s="28">
        <f t="shared" ca="1" si="42"/>
        <v>138</v>
      </c>
      <c r="N425" s="28">
        <f t="shared" ca="1" si="43"/>
        <v>158</v>
      </c>
      <c r="O425" s="42">
        <f t="shared" ca="1" si="44"/>
        <v>1</v>
      </c>
    </row>
    <row r="426" spans="11:15" x14ac:dyDescent="0.25">
      <c r="K426" s="15" t="s">
        <v>1175</v>
      </c>
      <c r="L426" s="16">
        <v>144</v>
      </c>
      <c r="M426" s="28">
        <f t="shared" ca="1" si="42"/>
        <v>138</v>
      </c>
      <c r="N426" s="28">
        <f t="shared" ca="1" si="43"/>
        <v>158</v>
      </c>
      <c r="O426" s="42">
        <f t="shared" ca="1" si="44"/>
        <v>1</v>
      </c>
    </row>
    <row r="427" spans="11:15" x14ac:dyDescent="0.25">
      <c r="K427" s="15" t="s">
        <v>1176</v>
      </c>
      <c r="L427" s="16">
        <v>157</v>
      </c>
      <c r="M427" s="28">
        <f t="shared" ca="1" si="42"/>
        <v>138</v>
      </c>
      <c r="N427" s="28">
        <f t="shared" ca="1" si="43"/>
        <v>158</v>
      </c>
      <c r="O427" s="42">
        <f t="shared" ca="1" si="44"/>
        <v>1</v>
      </c>
    </row>
    <row r="428" spans="11:15" x14ac:dyDescent="0.25">
      <c r="K428" s="15" t="s">
        <v>1177</v>
      </c>
      <c r="L428" s="16">
        <v>149</v>
      </c>
      <c r="M428" s="28">
        <f t="shared" ca="1" si="42"/>
        <v>138</v>
      </c>
      <c r="N428" s="28">
        <f t="shared" ca="1" si="43"/>
        <v>158</v>
      </c>
      <c r="O428" s="42">
        <f t="shared" ca="1" si="44"/>
        <v>1</v>
      </c>
    </row>
    <row r="429" spans="11:15" x14ac:dyDescent="0.25">
      <c r="K429" s="15" t="s">
        <v>1178</v>
      </c>
      <c r="L429" s="16">
        <v>171</v>
      </c>
      <c r="M429" s="28">
        <f t="shared" ca="1" si="42"/>
        <v>138</v>
      </c>
      <c r="N429" s="28">
        <f t="shared" ca="1" si="43"/>
        <v>158</v>
      </c>
      <c r="O429" s="42">
        <f t="shared" ca="1" si="44"/>
        <v>0</v>
      </c>
    </row>
    <row r="430" spans="11:15" x14ac:dyDescent="0.25">
      <c r="K430" s="15" t="s">
        <v>1179</v>
      </c>
      <c r="L430" s="16">
        <v>136</v>
      </c>
      <c r="M430" s="28">
        <f t="shared" ca="1" si="42"/>
        <v>138</v>
      </c>
      <c r="N430" s="28">
        <f t="shared" ca="1" si="43"/>
        <v>158</v>
      </c>
      <c r="O430" s="42">
        <f t="shared" ca="1" si="44"/>
        <v>0</v>
      </c>
    </row>
    <row r="431" spans="11:15" x14ac:dyDescent="0.25">
      <c r="K431" s="15" t="s">
        <v>1180</v>
      </c>
      <c r="L431" s="16">
        <v>141</v>
      </c>
      <c r="M431" s="28">
        <f t="shared" ca="1" si="42"/>
        <v>138</v>
      </c>
      <c r="N431" s="28">
        <f t="shared" ca="1" si="43"/>
        <v>158</v>
      </c>
      <c r="O431" s="42">
        <f t="shared" ca="1" si="44"/>
        <v>1</v>
      </c>
    </row>
    <row r="432" spans="11:15" x14ac:dyDescent="0.25">
      <c r="K432" s="15" t="s">
        <v>1181</v>
      </c>
      <c r="L432" s="16">
        <v>134</v>
      </c>
      <c r="M432" s="28">
        <f t="shared" ca="1" si="42"/>
        <v>138</v>
      </c>
      <c r="N432" s="28">
        <f t="shared" ca="1" si="43"/>
        <v>158</v>
      </c>
      <c r="O432" s="42">
        <f t="shared" ca="1" si="44"/>
        <v>0</v>
      </c>
    </row>
    <row r="433" spans="11:15" x14ac:dyDescent="0.25">
      <c r="K433" s="15" t="s">
        <v>1182</v>
      </c>
      <c r="L433" s="16">
        <v>159</v>
      </c>
      <c r="M433" s="28">
        <f t="shared" ca="1" si="42"/>
        <v>138</v>
      </c>
      <c r="N433" s="28">
        <f t="shared" ca="1" si="43"/>
        <v>158</v>
      </c>
      <c r="O433" s="42">
        <f t="shared" ca="1" si="44"/>
        <v>0</v>
      </c>
    </row>
    <row r="434" spans="11:15" x14ac:dyDescent="0.25">
      <c r="K434" s="15" t="s">
        <v>1183</v>
      </c>
      <c r="L434" s="16">
        <v>152</v>
      </c>
      <c r="M434" s="28">
        <f t="shared" ca="1" si="42"/>
        <v>138</v>
      </c>
      <c r="N434" s="28">
        <f t="shared" ca="1" si="43"/>
        <v>158</v>
      </c>
      <c r="O434" s="42">
        <f t="shared" ca="1" si="44"/>
        <v>1</v>
      </c>
    </row>
    <row r="435" spans="11:15" x14ac:dyDescent="0.25">
      <c r="K435" s="15" t="s">
        <v>1184</v>
      </c>
      <c r="L435" s="16">
        <v>132</v>
      </c>
      <c r="M435" s="28">
        <f t="shared" ca="1" si="42"/>
        <v>138</v>
      </c>
      <c r="N435" s="28">
        <f t="shared" ca="1" si="43"/>
        <v>158</v>
      </c>
      <c r="O435" s="42">
        <f t="shared" ca="1" si="44"/>
        <v>0</v>
      </c>
    </row>
    <row r="436" spans="11:15" x14ac:dyDescent="0.25">
      <c r="K436" s="15" t="s">
        <v>1185</v>
      </c>
      <c r="L436" s="16">
        <v>134</v>
      </c>
      <c r="M436" s="28">
        <f t="shared" ca="1" si="42"/>
        <v>138</v>
      </c>
      <c r="N436" s="28">
        <f t="shared" ca="1" si="43"/>
        <v>158</v>
      </c>
      <c r="O436" s="42">
        <f t="shared" ca="1" si="44"/>
        <v>0</v>
      </c>
    </row>
    <row r="437" spans="11:15" x14ac:dyDescent="0.25">
      <c r="K437" s="15" t="s">
        <v>1186</v>
      </c>
      <c r="L437" s="16">
        <v>152</v>
      </c>
      <c r="M437" s="28">
        <f t="shared" ca="1" si="42"/>
        <v>138</v>
      </c>
      <c r="N437" s="28">
        <f t="shared" ca="1" si="43"/>
        <v>158</v>
      </c>
      <c r="O437" s="42">
        <f t="shared" ca="1" si="44"/>
        <v>1</v>
      </c>
    </row>
    <row r="438" spans="11:15" x14ac:dyDescent="0.25">
      <c r="K438" s="15" t="s">
        <v>1187</v>
      </c>
      <c r="L438" s="16">
        <v>140</v>
      </c>
      <c r="M438" s="28">
        <f t="shared" ca="1" si="42"/>
        <v>138</v>
      </c>
      <c r="N438" s="28">
        <f t="shared" ca="1" si="43"/>
        <v>158</v>
      </c>
      <c r="O438" s="42">
        <f t="shared" ca="1" si="44"/>
        <v>1</v>
      </c>
    </row>
    <row r="439" spans="11:15" x14ac:dyDescent="0.25">
      <c r="K439" s="15" t="s">
        <v>1188</v>
      </c>
      <c r="L439" s="16">
        <v>144</v>
      </c>
      <c r="M439" s="28">
        <f t="shared" ca="1" si="42"/>
        <v>138</v>
      </c>
      <c r="N439" s="28">
        <f t="shared" ca="1" si="43"/>
        <v>158</v>
      </c>
      <c r="O439" s="42">
        <f t="shared" ca="1" si="44"/>
        <v>1</v>
      </c>
    </row>
    <row r="440" spans="11:15" x14ac:dyDescent="0.25">
      <c r="K440" s="15" t="s">
        <v>1189</v>
      </c>
      <c r="L440" s="16">
        <v>137</v>
      </c>
      <c r="M440" s="28">
        <f t="shared" ca="1" si="42"/>
        <v>138</v>
      </c>
      <c r="N440" s="28">
        <f t="shared" ca="1" si="43"/>
        <v>158</v>
      </c>
      <c r="O440" s="42">
        <f t="shared" ca="1" si="44"/>
        <v>0</v>
      </c>
    </row>
    <row r="441" spans="11:15" x14ac:dyDescent="0.25">
      <c r="K441" s="15" t="s">
        <v>1190</v>
      </c>
      <c r="L441" s="16">
        <v>147</v>
      </c>
      <c r="M441" s="28">
        <f t="shared" ca="1" si="42"/>
        <v>138</v>
      </c>
      <c r="N441" s="28">
        <f t="shared" ca="1" si="43"/>
        <v>158</v>
      </c>
      <c r="O441" s="42">
        <f t="shared" ca="1" si="44"/>
        <v>1</v>
      </c>
    </row>
    <row r="442" spans="11:15" x14ac:dyDescent="0.25">
      <c r="K442" s="15" t="s">
        <v>1191</v>
      </c>
      <c r="L442" s="16">
        <v>145</v>
      </c>
      <c r="M442" s="28">
        <f t="shared" ca="1" si="42"/>
        <v>138</v>
      </c>
      <c r="N442" s="28">
        <f t="shared" ca="1" si="43"/>
        <v>158</v>
      </c>
      <c r="O442" s="42">
        <f t="shared" ca="1" si="44"/>
        <v>1</v>
      </c>
    </row>
    <row r="443" spans="11:15" x14ac:dyDescent="0.25">
      <c r="K443" s="15" t="s">
        <v>1192</v>
      </c>
      <c r="L443" s="16">
        <v>157</v>
      </c>
      <c r="M443" s="28">
        <f t="shared" ca="1" si="42"/>
        <v>138</v>
      </c>
      <c r="N443" s="28">
        <f t="shared" ca="1" si="43"/>
        <v>158</v>
      </c>
      <c r="O443" s="42">
        <f t="shared" ca="1" si="44"/>
        <v>1</v>
      </c>
    </row>
    <row r="444" spans="11:15" x14ac:dyDescent="0.25">
      <c r="K444" s="15" t="s">
        <v>1193</v>
      </c>
      <c r="L444" s="16">
        <v>143</v>
      </c>
      <c r="M444" s="28">
        <f t="shared" ca="1" si="42"/>
        <v>138</v>
      </c>
      <c r="N444" s="28">
        <f t="shared" ca="1" si="43"/>
        <v>158</v>
      </c>
      <c r="O444" s="42">
        <f t="shared" ca="1" si="44"/>
        <v>1</v>
      </c>
    </row>
    <row r="445" spans="11:15" x14ac:dyDescent="0.25">
      <c r="K445" s="15" t="s">
        <v>1194</v>
      </c>
      <c r="L445" s="16">
        <v>158</v>
      </c>
      <c r="M445" s="28">
        <f t="shared" ca="1" si="42"/>
        <v>138</v>
      </c>
      <c r="N445" s="28">
        <f t="shared" ca="1" si="43"/>
        <v>158</v>
      </c>
      <c r="O445" s="42">
        <f t="shared" ca="1" si="44"/>
        <v>1</v>
      </c>
    </row>
    <row r="446" spans="11:15" x14ac:dyDescent="0.25">
      <c r="K446" s="15" t="s">
        <v>1195</v>
      </c>
      <c r="L446" s="16">
        <v>141</v>
      </c>
      <c r="M446" s="28">
        <f t="shared" ca="1" si="42"/>
        <v>138</v>
      </c>
      <c r="N446" s="28">
        <f t="shared" ca="1" si="43"/>
        <v>158</v>
      </c>
      <c r="O446" s="42">
        <f t="shared" ca="1" si="44"/>
        <v>1</v>
      </c>
    </row>
    <row r="447" spans="11:15" x14ac:dyDescent="0.25">
      <c r="K447" s="15" t="s">
        <v>1196</v>
      </c>
      <c r="L447" s="16">
        <v>169</v>
      </c>
      <c r="M447" s="28">
        <f t="shared" ca="1" si="42"/>
        <v>138</v>
      </c>
      <c r="N447" s="28">
        <f t="shared" ca="1" si="43"/>
        <v>158</v>
      </c>
      <c r="O447" s="42">
        <f t="shared" ca="1" si="44"/>
        <v>0</v>
      </c>
    </row>
    <row r="448" spans="11:15" x14ac:dyDescent="0.25">
      <c r="K448" s="15" t="s">
        <v>1197</v>
      </c>
      <c r="L448" s="16">
        <v>164</v>
      </c>
      <c r="M448" s="28">
        <f t="shared" ca="1" si="42"/>
        <v>138</v>
      </c>
      <c r="N448" s="28">
        <f t="shared" ca="1" si="43"/>
        <v>158</v>
      </c>
      <c r="O448" s="42">
        <f t="shared" ca="1" si="44"/>
        <v>0</v>
      </c>
    </row>
    <row r="449" spans="11:15" x14ac:dyDescent="0.25">
      <c r="K449" s="15" t="s">
        <v>1198</v>
      </c>
      <c r="L449" s="16">
        <v>153</v>
      </c>
      <c r="M449" s="28">
        <f t="shared" ca="1" si="42"/>
        <v>138</v>
      </c>
      <c r="N449" s="28">
        <f t="shared" ca="1" si="43"/>
        <v>158</v>
      </c>
      <c r="O449" s="42">
        <f t="shared" ca="1" si="44"/>
        <v>1</v>
      </c>
    </row>
    <row r="450" spans="11:15" x14ac:dyDescent="0.25">
      <c r="K450" s="15" t="s">
        <v>1199</v>
      </c>
      <c r="L450" s="16">
        <v>160</v>
      </c>
      <c r="M450" s="28">
        <f t="shared" ca="1" si="42"/>
        <v>138</v>
      </c>
      <c r="N450" s="28">
        <f t="shared" ca="1" si="43"/>
        <v>158</v>
      </c>
      <c r="O450" s="42">
        <f t="shared" ca="1" si="44"/>
        <v>0</v>
      </c>
    </row>
    <row r="451" spans="11:15" x14ac:dyDescent="0.25">
      <c r="K451" s="15" t="s">
        <v>1200</v>
      </c>
      <c r="L451" s="16">
        <v>136</v>
      </c>
      <c r="M451" s="28">
        <f t="shared" ca="1" si="42"/>
        <v>138</v>
      </c>
      <c r="N451" s="28">
        <f t="shared" ca="1" si="43"/>
        <v>158</v>
      </c>
      <c r="O451" s="42">
        <f t="shared" ca="1" si="44"/>
        <v>0</v>
      </c>
    </row>
    <row r="452" spans="11:15" x14ac:dyDescent="0.25">
      <c r="K452" s="15" t="s">
        <v>1201</v>
      </c>
      <c r="L452" s="16">
        <v>151</v>
      </c>
      <c r="M452" s="28">
        <f t="shared" ca="1" si="42"/>
        <v>138</v>
      </c>
      <c r="N452" s="28">
        <f t="shared" ca="1" si="43"/>
        <v>158</v>
      </c>
      <c r="O452" s="42">
        <f t="shared" ca="1" si="44"/>
        <v>1</v>
      </c>
    </row>
    <row r="453" spans="11:15" x14ac:dyDescent="0.25">
      <c r="K453" s="15" t="s">
        <v>1202</v>
      </c>
      <c r="L453" s="16">
        <v>143</v>
      </c>
      <c r="M453" s="28">
        <f t="shared" ca="1" si="42"/>
        <v>138</v>
      </c>
      <c r="N453" s="28">
        <f t="shared" ca="1" si="43"/>
        <v>158</v>
      </c>
      <c r="O453" s="42">
        <f t="shared" ca="1" si="44"/>
        <v>1</v>
      </c>
    </row>
    <row r="454" spans="11:15" x14ac:dyDescent="0.25">
      <c r="K454" s="15" t="s">
        <v>1203</v>
      </c>
      <c r="L454" s="16">
        <v>140</v>
      </c>
      <c r="M454" s="28">
        <f t="shared" ca="1" si="42"/>
        <v>138</v>
      </c>
      <c r="N454" s="28">
        <f t="shared" ca="1" si="43"/>
        <v>158</v>
      </c>
      <c r="O454" s="42">
        <f t="shared" ca="1" si="44"/>
        <v>1</v>
      </c>
    </row>
    <row r="455" spans="11:15" x14ac:dyDescent="0.25">
      <c r="K455" s="15" t="s">
        <v>1204</v>
      </c>
      <c r="L455" s="16">
        <v>160</v>
      </c>
      <c r="M455" s="28">
        <f t="shared" ca="1" si="42"/>
        <v>138</v>
      </c>
      <c r="N455" s="28">
        <f t="shared" ca="1" si="43"/>
        <v>158</v>
      </c>
      <c r="O455" s="42">
        <f t="shared" ca="1" si="44"/>
        <v>0</v>
      </c>
    </row>
    <row r="456" spans="11:15" x14ac:dyDescent="0.25">
      <c r="K456" s="15" t="s">
        <v>1205</v>
      </c>
      <c r="L456" s="16">
        <v>161</v>
      </c>
      <c r="M456" s="28">
        <f t="shared" ca="1" si="42"/>
        <v>138</v>
      </c>
      <c r="N456" s="28">
        <f t="shared" ca="1" si="43"/>
        <v>158</v>
      </c>
      <c r="O456" s="42">
        <f t="shared" ca="1" si="44"/>
        <v>0</v>
      </c>
    </row>
    <row r="457" spans="11:15" x14ac:dyDescent="0.25">
      <c r="K457" s="15" t="s">
        <v>1206</v>
      </c>
      <c r="L457" s="16">
        <v>160</v>
      </c>
      <c r="M457" s="28">
        <f t="shared" ca="1" si="42"/>
        <v>138</v>
      </c>
      <c r="N457" s="28">
        <f t="shared" ca="1" si="43"/>
        <v>158</v>
      </c>
      <c r="O457" s="42">
        <f t="shared" ca="1" si="44"/>
        <v>0</v>
      </c>
    </row>
    <row r="458" spans="11:15" x14ac:dyDescent="0.25">
      <c r="K458" s="15" t="s">
        <v>1207</v>
      </c>
      <c r="L458" s="16">
        <v>153</v>
      </c>
      <c r="M458" s="28">
        <f t="shared" ca="1" si="42"/>
        <v>138</v>
      </c>
      <c r="N458" s="28">
        <f t="shared" ca="1" si="43"/>
        <v>158</v>
      </c>
      <c r="O458" s="42">
        <f t="shared" ca="1" si="44"/>
        <v>1</v>
      </c>
    </row>
    <row r="459" spans="11:15" x14ac:dyDescent="0.25">
      <c r="K459" s="15" t="s">
        <v>1208</v>
      </c>
      <c r="L459" s="16">
        <v>146</v>
      </c>
      <c r="M459" s="28">
        <f t="shared" ref="M459:M522" ca="1" si="45">$I$14-epsilon</f>
        <v>138</v>
      </c>
      <c r="N459" s="28">
        <f t="shared" ref="N459:N522" ca="1" si="46">$I$14+epsilon</f>
        <v>158</v>
      </c>
      <c r="O459" s="42">
        <f t="shared" ca="1" si="44"/>
        <v>1</v>
      </c>
    </row>
    <row r="460" spans="11:15" x14ac:dyDescent="0.25">
      <c r="K460" s="15" t="s">
        <v>1209</v>
      </c>
      <c r="L460" s="16">
        <v>153</v>
      </c>
      <c r="M460" s="28">
        <f t="shared" ca="1" si="45"/>
        <v>138</v>
      </c>
      <c r="N460" s="28">
        <f t="shared" ca="1" si="46"/>
        <v>158</v>
      </c>
      <c r="O460" s="42">
        <f t="shared" ca="1" si="44"/>
        <v>1</v>
      </c>
    </row>
    <row r="461" spans="11:15" x14ac:dyDescent="0.25">
      <c r="K461" s="15" t="s">
        <v>1210</v>
      </c>
      <c r="L461" s="16">
        <v>143</v>
      </c>
      <c r="M461" s="28">
        <f t="shared" ca="1" si="45"/>
        <v>138</v>
      </c>
      <c r="N461" s="28">
        <f t="shared" ca="1" si="46"/>
        <v>158</v>
      </c>
      <c r="O461" s="42">
        <f t="shared" ref="O461:O524" ca="1" si="47">IF(AND(L461&gt;=M461,L461&lt;=N461),1,0)</f>
        <v>1</v>
      </c>
    </row>
    <row r="462" spans="11:15" x14ac:dyDescent="0.25">
      <c r="K462" s="15" t="s">
        <v>1211</v>
      </c>
      <c r="L462" s="16">
        <v>139</v>
      </c>
      <c r="M462" s="28">
        <f t="shared" ca="1" si="45"/>
        <v>138</v>
      </c>
      <c r="N462" s="28">
        <f t="shared" ca="1" si="46"/>
        <v>158</v>
      </c>
      <c r="O462" s="42">
        <f t="shared" ca="1" si="47"/>
        <v>1</v>
      </c>
    </row>
    <row r="463" spans="11:15" x14ac:dyDescent="0.25">
      <c r="K463" s="15" t="s">
        <v>1212</v>
      </c>
      <c r="L463" s="16">
        <v>157</v>
      </c>
      <c r="M463" s="28">
        <f t="shared" ca="1" si="45"/>
        <v>138</v>
      </c>
      <c r="N463" s="28">
        <f t="shared" ca="1" si="46"/>
        <v>158</v>
      </c>
      <c r="O463" s="42">
        <f t="shared" ca="1" si="47"/>
        <v>1</v>
      </c>
    </row>
    <row r="464" spans="11:15" x14ac:dyDescent="0.25">
      <c r="K464" s="15" t="s">
        <v>1213</v>
      </c>
      <c r="L464" s="16">
        <v>153</v>
      </c>
      <c r="M464" s="28">
        <f t="shared" ca="1" si="45"/>
        <v>138</v>
      </c>
      <c r="N464" s="28">
        <f t="shared" ca="1" si="46"/>
        <v>158</v>
      </c>
      <c r="O464" s="42">
        <f t="shared" ca="1" si="47"/>
        <v>1</v>
      </c>
    </row>
    <row r="465" spans="11:15" x14ac:dyDescent="0.25">
      <c r="K465" s="15" t="s">
        <v>1214</v>
      </c>
      <c r="L465" s="16">
        <v>141</v>
      </c>
      <c r="M465" s="28">
        <f t="shared" ca="1" si="45"/>
        <v>138</v>
      </c>
      <c r="N465" s="28">
        <f t="shared" ca="1" si="46"/>
        <v>158</v>
      </c>
      <c r="O465" s="42">
        <f t="shared" ca="1" si="47"/>
        <v>1</v>
      </c>
    </row>
    <row r="466" spans="11:15" x14ac:dyDescent="0.25">
      <c r="K466" s="15" t="s">
        <v>1215</v>
      </c>
      <c r="L466" s="16">
        <v>151</v>
      </c>
      <c r="M466" s="28">
        <f t="shared" ca="1" si="45"/>
        <v>138</v>
      </c>
      <c r="N466" s="28">
        <f t="shared" ca="1" si="46"/>
        <v>158</v>
      </c>
      <c r="O466" s="42">
        <f t="shared" ca="1" si="47"/>
        <v>1</v>
      </c>
    </row>
    <row r="467" spans="11:15" x14ac:dyDescent="0.25">
      <c r="K467" s="15" t="s">
        <v>1216</v>
      </c>
      <c r="L467" s="16">
        <v>148</v>
      </c>
      <c r="M467" s="28">
        <f t="shared" ca="1" si="45"/>
        <v>138</v>
      </c>
      <c r="N467" s="28">
        <f t="shared" ca="1" si="46"/>
        <v>158</v>
      </c>
      <c r="O467" s="42">
        <f t="shared" ca="1" si="47"/>
        <v>1</v>
      </c>
    </row>
    <row r="468" spans="11:15" x14ac:dyDescent="0.25">
      <c r="K468" s="15" t="s">
        <v>1217</v>
      </c>
      <c r="L468" s="16">
        <v>139</v>
      </c>
      <c r="M468" s="28">
        <f t="shared" ca="1" si="45"/>
        <v>138</v>
      </c>
      <c r="N468" s="28">
        <f t="shared" ca="1" si="46"/>
        <v>158</v>
      </c>
      <c r="O468" s="42">
        <f t="shared" ca="1" si="47"/>
        <v>1</v>
      </c>
    </row>
    <row r="469" spans="11:15" x14ac:dyDescent="0.25">
      <c r="K469" s="15" t="s">
        <v>1218</v>
      </c>
      <c r="L469" s="16">
        <v>171</v>
      </c>
      <c r="M469" s="28">
        <f t="shared" ca="1" si="45"/>
        <v>138</v>
      </c>
      <c r="N469" s="28">
        <f t="shared" ca="1" si="46"/>
        <v>158</v>
      </c>
      <c r="O469" s="42">
        <f t="shared" ca="1" si="47"/>
        <v>0</v>
      </c>
    </row>
    <row r="470" spans="11:15" x14ac:dyDescent="0.25">
      <c r="K470" s="15" t="s">
        <v>1219</v>
      </c>
      <c r="L470" s="16">
        <v>146</v>
      </c>
      <c r="M470" s="28">
        <f t="shared" ca="1" si="45"/>
        <v>138</v>
      </c>
      <c r="N470" s="28">
        <f t="shared" ca="1" si="46"/>
        <v>158</v>
      </c>
      <c r="O470" s="42">
        <f t="shared" ca="1" si="47"/>
        <v>1</v>
      </c>
    </row>
    <row r="471" spans="11:15" x14ac:dyDescent="0.25">
      <c r="K471" s="15" t="s">
        <v>1220</v>
      </c>
      <c r="L471" s="16">
        <v>164</v>
      </c>
      <c r="M471" s="28">
        <f t="shared" ca="1" si="45"/>
        <v>138</v>
      </c>
      <c r="N471" s="28">
        <f t="shared" ca="1" si="46"/>
        <v>158</v>
      </c>
      <c r="O471" s="42">
        <f t="shared" ca="1" si="47"/>
        <v>0</v>
      </c>
    </row>
    <row r="472" spans="11:15" x14ac:dyDescent="0.25">
      <c r="K472" s="15" t="s">
        <v>1221</v>
      </c>
      <c r="L472" s="16">
        <v>152</v>
      </c>
      <c r="M472" s="28">
        <f t="shared" ca="1" si="45"/>
        <v>138</v>
      </c>
      <c r="N472" s="28">
        <f t="shared" ca="1" si="46"/>
        <v>158</v>
      </c>
      <c r="O472" s="42">
        <f t="shared" ca="1" si="47"/>
        <v>1</v>
      </c>
    </row>
    <row r="473" spans="11:15" x14ac:dyDescent="0.25">
      <c r="K473" s="15" t="s">
        <v>1222</v>
      </c>
      <c r="L473" s="16">
        <v>135</v>
      </c>
      <c r="M473" s="28">
        <f t="shared" ca="1" si="45"/>
        <v>138</v>
      </c>
      <c r="N473" s="28">
        <f t="shared" ca="1" si="46"/>
        <v>158</v>
      </c>
      <c r="O473" s="42">
        <f t="shared" ca="1" si="47"/>
        <v>0</v>
      </c>
    </row>
    <row r="474" spans="11:15" x14ac:dyDescent="0.25">
      <c r="K474" s="15" t="s">
        <v>1223</v>
      </c>
      <c r="L474" s="16">
        <v>149</v>
      </c>
      <c r="M474" s="28">
        <f t="shared" ca="1" si="45"/>
        <v>138</v>
      </c>
      <c r="N474" s="28">
        <f t="shared" ca="1" si="46"/>
        <v>158</v>
      </c>
      <c r="O474" s="42">
        <f t="shared" ca="1" si="47"/>
        <v>1</v>
      </c>
    </row>
    <row r="475" spans="11:15" x14ac:dyDescent="0.25">
      <c r="K475" s="15" t="s">
        <v>1224</v>
      </c>
      <c r="L475" s="16">
        <v>163</v>
      </c>
      <c r="M475" s="28">
        <f t="shared" ca="1" si="45"/>
        <v>138</v>
      </c>
      <c r="N475" s="28">
        <f t="shared" ca="1" si="46"/>
        <v>158</v>
      </c>
      <c r="O475" s="42">
        <f t="shared" ca="1" si="47"/>
        <v>0</v>
      </c>
    </row>
    <row r="476" spans="11:15" x14ac:dyDescent="0.25">
      <c r="K476" s="15" t="s">
        <v>1225</v>
      </c>
      <c r="L476" s="16">
        <v>160</v>
      </c>
      <c r="M476" s="28">
        <f t="shared" ca="1" si="45"/>
        <v>138</v>
      </c>
      <c r="N476" s="28">
        <f t="shared" ca="1" si="46"/>
        <v>158</v>
      </c>
      <c r="O476" s="42">
        <f t="shared" ca="1" si="47"/>
        <v>0</v>
      </c>
    </row>
    <row r="477" spans="11:15" x14ac:dyDescent="0.25">
      <c r="K477" s="15" t="s">
        <v>1226</v>
      </c>
      <c r="L477" s="16">
        <v>151</v>
      </c>
      <c r="M477" s="28">
        <f t="shared" ca="1" si="45"/>
        <v>138</v>
      </c>
      <c r="N477" s="28">
        <f t="shared" ca="1" si="46"/>
        <v>158</v>
      </c>
      <c r="O477" s="42">
        <f t="shared" ca="1" si="47"/>
        <v>1</v>
      </c>
    </row>
    <row r="478" spans="11:15" x14ac:dyDescent="0.25">
      <c r="K478" s="15" t="s">
        <v>1227</v>
      </c>
      <c r="L478" s="16">
        <v>150</v>
      </c>
      <c r="M478" s="28">
        <f t="shared" ca="1" si="45"/>
        <v>138</v>
      </c>
      <c r="N478" s="28">
        <f t="shared" ca="1" si="46"/>
        <v>158</v>
      </c>
      <c r="O478" s="42">
        <f t="shared" ca="1" si="47"/>
        <v>1</v>
      </c>
    </row>
    <row r="479" spans="11:15" x14ac:dyDescent="0.25">
      <c r="K479" s="15" t="s">
        <v>1228</v>
      </c>
      <c r="L479" s="16">
        <v>138</v>
      </c>
      <c r="M479" s="28">
        <f t="shared" ca="1" si="45"/>
        <v>138</v>
      </c>
      <c r="N479" s="28">
        <f t="shared" ca="1" si="46"/>
        <v>158</v>
      </c>
      <c r="O479" s="42">
        <f t="shared" ca="1" si="47"/>
        <v>1</v>
      </c>
    </row>
    <row r="480" spans="11:15" x14ac:dyDescent="0.25">
      <c r="K480" s="15" t="s">
        <v>1229</v>
      </c>
      <c r="L480" s="16">
        <v>145</v>
      </c>
      <c r="M480" s="28">
        <f t="shared" ca="1" si="45"/>
        <v>138</v>
      </c>
      <c r="N480" s="28">
        <f t="shared" ca="1" si="46"/>
        <v>158</v>
      </c>
      <c r="O480" s="42">
        <f t="shared" ca="1" si="47"/>
        <v>1</v>
      </c>
    </row>
    <row r="481" spans="11:15" x14ac:dyDescent="0.25">
      <c r="K481" s="15" t="s">
        <v>1230</v>
      </c>
      <c r="L481" s="16">
        <v>159</v>
      </c>
      <c r="M481" s="28">
        <f t="shared" ca="1" si="45"/>
        <v>138</v>
      </c>
      <c r="N481" s="28">
        <f t="shared" ca="1" si="46"/>
        <v>158</v>
      </c>
      <c r="O481" s="42">
        <f t="shared" ca="1" si="47"/>
        <v>0</v>
      </c>
    </row>
    <row r="482" spans="11:15" x14ac:dyDescent="0.25">
      <c r="K482" s="15" t="s">
        <v>1231</v>
      </c>
      <c r="L482" s="16">
        <v>150</v>
      </c>
      <c r="M482" s="28">
        <f t="shared" ca="1" si="45"/>
        <v>138</v>
      </c>
      <c r="N482" s="28">
        <f t="shared" ca="1" si="46"/>
        <v>158</v>
      </c>
      <c r="O482" s="42">
        <f t="shared" ca="1" si="47"/>
        <v>1</v>
      </c>
    </row>
    <row r="483" spans="11:15" x14ac:dyDescent="0.25">
      <c r="K483" s="15" t="s">
        <v>1232</v>
      </c>
      <c r="L483" s="16">
        <v>155</v>
      </c>
      <c r="M483" s="28">
        <f t="shared" ca="1" si="45"/>
        <v>138</v>
      </c>
      <c r="N483" s="28">
        <f t="shared" ca="1" si="46"/>
        <v>158</v>
      </c>
      <c r="O483" s="42">
        <f t="shared" ca="1" si="47"/>
        <v>1</v>
      </c>
    </row>
    <row r="484" spans="11:15" x14ac:dyDescent="0.25">
      <c r="K484" s="15" t="s">
        <v>1233</v>
      </c>
      <c r="L484" s="16">
        <v>153</v>
      </c>
      <c r="M484" s="28">
        <f t="shared" ca="1" si="45"/>
        <v>138</v>
      </c>
      <c r="N484" s="28">
        <f t="shared" ca="1" si="46"/>
        <v>158</v>
      </c>
      <c r="O484" s="42">
        <f t="shared" ca="1" si="47"/>
        <v>1</v>
      </c>
    </row>
    <row r="485" spans="11:15" x14ac:dyDescent="0.25">
      <c r="K485" s="15" t="s">
        <v>1234</v>
      </c>
      <c r="L485" s="16">
        <v>160</v>
      </c>
      <c r="M485" s="28">
        <f t="shared" ca="1" si="45"/>
        <v>138</v>
      </c>
      <c r="N485" s="28">
        <f t="shared" ca="1" si="46"/>
        <v>158</v>
      </c>
      <c r="O485" s="42">
        <f t="shared" ca="1" si="47"/>
        <v>0</v>
      </c>
    </row>
    <row r="486" spans="11:15" x14ac:dyDescent="0.25">
      <c r="K486" s="15" t="s">
        <v>1235</v>
      </c>
      <c r="L486" s="16">
        <v>169</v>
      </c>
      <c r="M486" s="28">
        <f t="shared" ca="1" si="45"/>
        <v>138</v>
      </c>
      <c r="N486" s="28">
        <f t="shared" ca="1" si="46"/>
        <v>158</v>
      </c>
      <c r="O486" s="42">
        <f t="shared" ca="1" si="47"/>
        <v>0</v>
      </c>
    </row>
    <row r="487" spans="11:15" x14ac:dyDescent="0.25">
      <c r="K487" s="15" t="s">
        <v>1236</v>
      </c>
      <c r="L487" s="16">
        <v>141</v>
      </c>
      <c r="M487" s="28">
        <f t="shared" ca="1" si="45"/>
        <v>138</v>
      </c>
      <c r="N487" s="28">
        <f t="shared" ca="1" si="46"/>
        <v>158</v>
      </c>
      <c r="O487" s="42">
        <f t="shared" ca="1" si="47"/>
        <v>1</v>
      </c>
    </row>
    <row r="488" spans="11:15" x14ac:dyDescent="0.25">
      <c r="K488" s="15" t="s">
        <v>1237</v>
      </c>
      <c r="L488" s="16">
        <v>136</v>
      </c>
      <c r="M488" s="28">
        <f t="shared" ca="1" si="45"/>
        <v>138</v>
      </c>
      <c r="N488" s="28">
        <f t="shared" ca="1" si="46"/>
        <v>158</v>
      </c>
      <c r="O488" s="42">
        <f t="shared" ca="1" si="47"/>
        <v>0</v>
      </c>
    </row>
    <row r="489" spans="11:15" x14ac:dyDescent="0.25">
      <c r="K489" s="15" t="s">
        <v>1238</v>
      </c>
      <c r="L489" s="16">
        <v>152</v>
      </c>
      <c r="M489" s="28">
        <f t="shared" ca="1" si="45"/>
        <v>138</v>
      </c>
      <c r="N489" s="28">
        <f t="shared" ca="1" si="46"/>
        <v>158</v>
      </c>
      <c r="O489" s="42">
        <f t="shared" ca="1" si="47"/>
        <v>1</v>
      </c>
    </row>
    <row r="490" spans="11:15" x14ac:dyDescent="0.25">
      <c r="K490" s="15" t="s">
        <v>1239</v>
      </c>
      <c r="L490" s="16">
        <v>148</v>
      </c>
      <c r="M490" s="28">
        <f t="shared" ca="1" si="45"/>
        <v>138</v>
      </c>
      <c r="N490" s="28">
        <f t="shared" ca="1" si="46"/>
        <v>158</v>
      </c>
      <c r="O490" s="42">
        <f t="shared" ca="1" si="47"/>
        <v>1</v>
      </c>
    </row>
    <row r="491" spans="11:15" x14ac:dyDescent="0.25">
      <c r="K491" s="15" t="s">
        <v>1240</v>
      </c>
      <c r="L491" s="16">
        <v>144</v>
      </c>
      <c r="M491" s="28">
        <f t="shared" ca="1" si="45"/>
        <v>138</v>
      </c>
      <c r="N491" s="28">
        <f t="shared" ca="1" si="46"/>
        <v>158</v>
      </c>
      <c r="O491" s="42">
        <f t="shared" ca="1" si="47"/>
        <v>1</v>
      </c>
    </row>
    <row r="492" spans="11:15" x14ac:dyDescent="0.25">
      <c r="K492" s="15" t="s">
        <v>1241</v>
      </c>
      <c r="L492" s="16">
        <v>137</v>
      </c>
      <c r="M492" s="28">
        <f t="shared" ca="1" si="45"/>
        <v>138</v>
      </c>
      <c r="N492" s="28">
        <f t="shared" ca="1" si="46"/>
        <v>158</v>
      </c>
      <c r="O492" s="42">
        <f t="shared" ca="1" si="47"/>
        <v>0</v>
      </c>
    </row>
    <row r="493" spans="11:15" x14ac:dyDescent="0.25">
      <c r="K493" s="15" t="s">
        <v>1242</v>
      </c>
      <c r="L493" s="16">
        <v>141</v>
      </c>
      <c r="M493" s="28">
        <f t="shared" ca="1" si="45"/>
        <v>138</v>
      </c>
      <c r="N493" s="28">
        <f t="shared" ca="1" si="46"/>
        <v>158</v>
      </c>
      <c r="O493" s="42">
        <f t="shared" ca="1" si="47"/>
        <v>1</v>
      </c>
    </row>
    <row r="494" spans="11:15" x14ac:dyDescent="0.25">
      <c r="K494" s="15" t="s">
        <v>1243</v>
      </c>
      <c r="L494" s="16">
        <v>137</v>
      </c>
      <c r="M494" s="28">
        <f t="shared" ca="1" si="45"/>
        <v>138</v>
      </c>
      <c r="N494" s="28">
        <f t="shared" ca="1" si="46"/>
        <v>158</v>
      </c>
      <c r="O494" s="42">
        <f t="shared" ca="1" si="47"/>
        <v>0</v>
      </c>
    </row>
    <row r="495" spans="11:15" x14ac:dyDescent="0.25">
      <c r="K495" s="15" t="s">
        <v>1244</v>
      </c>
      <c r="L495" s="16">
        <v>151</v>
      </c>
      <c r="M495" s="28">
        <f t="shared" ca="1" si="45"/>
        <v>138</v>
      </c>
      <c r="N495" s="28">
        <f t="shared" ca="1" si="46"/>
        <v>158</v>
      </c>
      <c r="O495" s="42">
        <f t="shared" ca="1" si="47"/>
        <v>1</v>
      </c>
    </row>
    <row r="496" spans="11:15" x14ac:dyDescent="0.25">
      <c r="K496" s="15" t="s">
        <v>1245</v>
      </c>
      <c r="L496" s="16">
        <v>154</v>
      </c>
      <c r="M496" s="28">
        <f t="shared" ca="1" si="45"/>
        <v>138</v>
      </c>
      <c r="N496" s="28">
        <f t="shared" ca="1" si="46"/>
        <v>158</v>
      </c>
      <c r="O496" s="42">
        <f t="shared" ca="1" si="47"/>
        <v>1</v>
      </c>
    </row>
    <row r="497" spans="11:15" x14ac:dyDescent="0.25">
      <c r="K497" s="15" t="s">
        <v>1246</v>
      </c>
      <c r="L497" s="16">
        <v>135</v>
      </c>
      <c r="M497" s="28">
        <f t="shared" ca="1" si="45"/>
        <v>138</v>
      </c>
      <c r="N497" s="28">
        <f t="shared" ca="1" si="46"/>
        <v>158</v>
      </c>
      <c r="O497" s="42">
        <f t="shared" ca="1" si="47"/>
        <v>0</v>
      </c>
    </row>
    <row r="498" spans="11:15" x14ac:dyDescent="0.25">
      <c r="K498" s="15" t="s">
        <v>1247</v>
      </c>
      <c r="L498" s="16">
        <v>151</v>
      </c>
      <c r="M498" s="28">
        <f t="shared" ca="1" si="45"/>
        <v>138</v>
      </c>
      <c r="N498" s="28">
        <f t="shared" ca="1" si="46"/>
        <v>158</v>
      </c>
      <c r="O498" s="42">
        <f t="shared" ca="1" si="47"/>
        <v>1</v>
      </c>
    </row>
    <row r="499" spans="11:15" x14ac:dyDescent="0.25">
      <c r="K499" s="15" t="s">
        <v>1248</v>
      </c>
      <c r="L499" s="16">
        <v>127</v>
      </c>
      <c r="M499" s="28">
        <f t="shared" ca="1" si="45"/>
        <v>138</v>
      </c>
      <c r="N499" s="28">
        <f t="shared" ca="1" si="46"/>
        <v>158</v>
      </c>
      <c r="O499" s="42">
        <f t="shared" ca="1" si="47"/>
        <v>0</v>
      </c>
    </row>
    <row r="500" spans="11:15" x14ac:dyDescent="0.25">
      <c r="K500" s="15" t="s">
        <v>1249</v>
      </c>
      <c r="L500" s="16">
        <v>142</v>
      </c>
      <c r="M500" s="28">
        <f t="shared" ca="1" si="45"/>
        <v>138</v>
      </c>
      <c r="N500" s="28">
        <f t="shared" ca="1" si="46"/>
        <v>158</v>
      </c>
      <c r="O500" s="42">
        <f t="shared" ca="1" si="47"/>
        <v>1</v>
      </c>
    </row>
    <row r="501" spans="11:15" x14ac:dyDescent="0.25">
      <c r="K501" s="15" t="s">
        <v>1250</v>
      </c>
      <c r="L501" s="16">
        <v>145</v>
      </c>
      <c r="M501" s="28">
        <f t="shared" ca="1" si="45"/>
        <v>138</v>
      </c>
      <c r="N501" s="28">
        <f t="shared" ca="1" si="46"/>
        <v>158</v>
      </c>
      <c r="O501" s="42">
        <f t="shared" ca="1" si="47"/>
        <v>1</v>
      </c>
    </row>
    <row r="502" spans="11:15" x14ac:dyDescent="0.25">
      <c r="K502" s="15" t="s">
        <v>1251</v>
      </c>
      <c r="L502" s="16">
        <v>157</v>
      </c>
      <c r="M502" s="28">
        <f t="shared" ca="1" si="45"/>
        <v>138</v>
      </c>
      <c r="N502" s="28">
        <f t="shared" ca="1" si="46"/>
        <v>158</v>
      </c>
      <c r="O502" s="42">
        <f t="shared" ca="1" si="47"/>
        <v>1</v>
      </c>
    </row>
    <row r="503" spans="11:15" x14ac:dyDescent="0.25">
      <c r="K503" s="15" t="s">
        <v>1252</v>
      </c>
      <c r="L503" s="16">
        <v>149</v>
      </c>
      <c r="M503" s="28">
        <f t="shared" ca="1" si="45"/>
        <v>138</v>
      </c>
      <c r="N503" s="28">
        <f t="shared" ca="1" si="46"/>
        <v>158</v>
      </c>
      <c r="O503" s="42">
        <f t="shared" ca="1" si="47"/>
        <v>1</v>
      </c>
    </row>
    <row r="504" spans="11:15" x14ac:dyDescent="0.25">
      <c r="K504" s="15" t="s">
        <v>1253</v>
      </c>
      <c r="L504" s="16">
        <v>146</v>
      </c>
      <c r="M504" s="28">
        <f t="shared" ca="1" si="45"/>
        <v>138</v>
      </c>
      <c r="N504" s="28">
        <f t="shared" ca="1" si="46"/>
        <v>158</v>
      </c>
      <c r="O504" s="42">
        <f t="shared" ca="1" si="47"/>
        <v>1</v>
      </c>
    </row>
    <row r="505" spans="11:15" x14ac:dyDescent="0.25">
      <c r="K505" s="15" t="s">
        <v>1254</v>
      </c>
      <c r="L505" s="16">
        <v>149</v>
      </c>
      <c r="M505" s="28">
        <f t="shared" ca="1" si="45"/>
        <v>138</v>
      </c>
      <c r="N505" s="28">
        <f t="shared" ca="1" si="46"/>
        <v>158</v>
      </c>
      <c r="O505" s="42">
        <f t="shared" ca="1" si="47"/>
        <v>1</v>
      </c>
    </row>
    <row r="506" spans="11:15" x14ac:dyDescent="0.25">
      <c r="K506" s="15" t="s">
        <v>1255</v>
      </c>
      <c r="L506" s="16">
        <v>128</v>
      </c>
      <c r="M506" s="28">
        <f t="shared" ca="1" si="45"/>
        <v>138</v>
      </c>
      <c r="N506" s="28">
        <f t="shared" ca="1" si="46"/>
        <v>158</v>
      </c>
      <c r="O506" s="42">
        <f t="shared" ca="1" si="47"/>
        <v>0</v>
      </c>
    </row>
    <row r="507" spans="11:15" x14ac:dyDescent="0.25">
      <c r="K507" s="15" t="s">
        <v>1256</v>
      </c>
      <c r="L507" s="16">
        <v>147</v>
      </c>
      <c r="M507" s="28">
        <f t="shared" ca="1" si="45"/>
        <v>138</v>
      </c>
      <c r="N507" s="28">
        <f t="shared" ca="1" si="46"/>
        <v>158</v>
      </c>
      <c r="O507" s="42">
        <f t="shared" ca="1" si="47"/>
        <v>1</v>
      </c>
    </row>
    <row r="508" spans="11:15" x14ac:dyDescent="0.25">
      <c r="K508" s="15" t="s">
        <v>1257</v>
      </c>
      <c r="L508" s="16">
        <v>158</v>
      </c>
      <c r="M508" s="28">
        <f t="shared" ca="1" si="45"/>
        <v>138</v>
      </c>
      <c r="N508" s="28">
        <f t="shared" ca="1" si="46"/>
        <v>158</v>
      </c>
      <c r="O508" s="42">
        <f t="shared" ca="1" si="47"/>
        <v>1</v>
      </c>
    </row>
    <row r="509" spans="11:15" x14ac:dyDescent="0.25">
      <c r="K509" s="15" t="s">
        <v>1258</v>
      </c>
      <c r="L509" s="16">
        <v>159</v>
      </c>
      <c r="M509" s="28">
        <f t="shared" ca="1" si="45"/>
        <v>138</v>
      </c>
      <c r="N509" s="28">
        <f t="shared" ca="1" si="46"/>
        <v>158</v>
      </c>
      <c r="O509" s="42">
        <f t="shared" ca="1" si="47"/>
        <v>0</v>
      </c>
    </row>
    <row r="510" spans="11:15" x14ac:dyDescent="0.25">
      <c r="K510" s="15" t="s">
        <v>1259</v>
      </c>
      <c r="L510" s="16">
        <v>137</v>
      </c>
      <c r="M510" s="28">
        <f t="shared" ca="1" si="45"/>
        <v>138</v>
      </c>
      <c r="N510" s="28">
        <f t="shared" ca="1" si="46"/>
        <v>158</v>
      </c>
      <c r="O510" s="42">
        <f t="shared" ca="1" si="47"/>
        <v>0</v>
      </c>
    </row>
    <row r="511" spans="11:15" x14ac:dyDescent="0.25">
      <c r="K511" s="15" t="s">
        <v>1260</v>
      </c>
      <c r="L511" s="16">
        <v>155</v>
      </c>
      <c r="M511" s="28">
        <f t="shared" ca="1" si="45"/>
        <v>138</v>
      </c>
      <c r="N511" s="28">
        <f t="shared" ca="1" si="46"/>
        <v>158</v>
      </c>
      <c r="O511" s="42">
        <f t="shared" ca="1" si="47"/>
        <v>1</v>
      </c>
    </row>
    <row r="512" spans="11:15" x14ac:dyDescent="0.25">
      <c r="K512" s="15" t="s">
        <v>1261</v>
      </c>
      <c r="L512" s="16">
        <v>155</v>
      </c>
      <c r="M512" s="28">
        <f t="shared" ca="1" si="45"/>
        <v>138</v>
      </c>
      <c r="N512" s="28">
        <f t="shared" ca="1" si="46"/>
        <v>158</v>
      </c>
      <c r="O512" s="42">
        <f t="shared" ca="1" si="47"/>
        <v>1</v>
      </c>
    </row>
    <row r="513" spans="11:15" x14ac:dyDescent="0.25">
      <c r="K513" s="15" t="s">
        <v>1262</v>
      </c>
      <c r="L513" s="16">
        <v>163</v>
      </c>
      <c r="M513" s="28">
        <f t="shared" ca="1" si="45"/>
        <v>138</v>
      </c>
      <c r="N513" s="28">
        <f t="shared" ca="1" si="46"/>
        <v>158</v>
      </c>
      <c r="O513" s="42">
        <f t="shared" ca="1" si="47"/>
        <v>0</v>
      </c>
    </row>
    <row r="514" spans="11:15" x14ac:dyDescent="0.25">
      <c r="K514" s="15" t="s">
        <v>1263</v>
      </c>
      <c r="L514" s="16">
        <v>153</v>
      </c>
      <c r="M514" s="28">
        <f t="shared" ca="1" si="45"/>
        <v>138</v>
      </c>
      <c r="N514" s="28">
        <f t="shared" ca="1" si="46"/>
        <v>158</v>
      </c>
      <c r="O514" s="42">
        <f t="shared" ca="1" si="47"/>
        <v>1</v>
      </c>
    </row>
    <row r="515" spans="11:15" x14ac:dyDescent="0.25">
      <c r="K515" s="15" t="s">
        <v>1264</v>
      </c>
      <c r="L515" s="16">
        <v>156</v>
      </c>
      <c r="M515" s="28">
        <f t="shared" ca="1" si="45"/>
        <v>138</v>
      </c>
      <c r="N515" s="28">
        <f t="shared" ca="1" si="46"/>
        <v>158</v>
      </c>
      <c r="O515" s="42">
        <f t="shared" ca="1" si="47"/>
        <v>1</v>
      </c>
    </row>
    <row r="516" spans="11:15" x14ac:dyDescent="0.25">
      <c r="K516" s="15" t="s">
        <v>1265</v>
      </c>
      <c r="L516" s="16">
        <v>149</v>
      </c>
      <c r="M516" s="28">
        <f t="shared" ca="1" si="45"/>
        <v>138</v>
      </c>
      <c r="N516" s="28">
        <f t="shared" ca="1" si="46"/>
        <v>158</v>
      </c>
      <c r="O516" s="42">
        <f t="shared" ca="1" si="47"/>
        <v>1</v>
      </c>
    </row>
    <row r="517" spans="11:15" x14ac:dyDescent="0.25">
      <c r="K517" s="15" t="s">
        <v>1266</v>
      </c>
      <c r="L517" s="16">
        <v>157</v>
      </c>
      <c r="M517" s="28">
        <f t="shared" ca="1" si="45"/>
        <v>138</v>
      </c>
      <c r="N517" s="28">
        <f t="shared" ca="1" si="46"/>
        <v>158</v>
      </c>
      <c r="O517" s="42">
        <f t="shared" ca="1" si="47"/>
        <v>1</v>
      </c>
    </row>
    <row r="518" spans="11:15" x14ac:dyDescent="0.25">
      <c r="K518" s="15" t="s">
        <v>1267</v>
      </c>
      <c r="L518" s="16">
        <v>150</v>
      </c>
      <c r="M518" s="28">
        <f t="shared" ca="1" si="45"/>
        <v>138</v>
      </c>
      <c r="N518" s="28">
        <f t="shared" ca="1" si="46"/>
        <v>158</v>
      </c>
      <c r="O518" s="42">
        <f t="shared" ca="1" si="47"/>
        <v>1</v>
      </c>
    </row>
    <row r="519" spans="11:15" x14ac:dyDescent="0.25">
      <c r="K519" s="15" t="s">
        <v>1268</v>
      </c>
      <c r="L519" s="16">
        <v>135</v>
      </c>
      <c r="M519" s="28">
        <f t="shared" ca="1" si="45"/>
        <v>138</v>
      </c>
      <c r="N519" s="28">
        <f t="shared" ca="1" si="46"/>
        <v>158</v>
      </c>
      <c r="O519" s="42">
        <f t="shared" ca="1" si="47"/>
        <v>0</v>
      </c>
    </row>
    <row r="520" spans="11:15" x14ac:dyDescent="0.25">
      <c r="K520" s="15" t="s">
        <v>1269</v>
      </c>
      <c r="L520" s="16">
        <v>143</v>
      </c>
      <c r="M520" s="28">
        <f t="shared" ca="1" si="45"/>
        <v>138</v>
      </c>
      <c r="N520" s="28">
        <f t="shared" ca="1" si="46"/>
        <v>158</v>
      </c>
      <c r="O520" s="42">
        <f t="shared" ca="1" si="47"/>
        <v>1</v>
      </c>
    </row>
    <row r="521" spans="11:15" x14ac:dyDescent="0.25">
      <c r="K521" s="15" t="s">
        <v>1270</v>
      </c>
      <c r="L521" s="16">
        <v>152</v>
      </c>
      <c r="M521" s="28">
        <f t="shared" ca="1" si="45"/>
        <v>138</v>
      </c>
      <c r="N521" s="28">
        <f t="shared" ca="1" si="46"/>
        <v>158</v>
      </c>
      <c r="O521" s="42">
        <f t="shared" ca="1" si="47"/>
        <v>1</v>
      </c>
    </row>
    <row r="522" spans="11:15" x14ac:dyDescent="0.25">
      <c r="K522" s="15" t="s">
        <v>1271</v>
      </c>
      <c r="L522" s="16">
        <v>127</v>
      </c>
      <c r="M522" s="28">
        <f t="shared" ca="1" si="45"/>
        <v>138</v>
      </c>
      <c r="N522" s="28">
        <f t="shared" ca="1" si="46"/>
        <v>158</v>
      </c>
      <c r="O522" s="42">
        <f t="shared" ca="1" si="47"/>
        <v>0</v>
      </c>
    </row>
    <row r="523" spans="11:15" x14ac:dyDescent="0.25">
      <c r="K523" s="15" t="s">
        <v>1272</v>
      </c>
      <c r="L523" s="16">
        <v>147</v>
      </c>
      <c r="M523" s="28">
        <f t="shared" ref="M523:M586" ca="1" si="48">$I$14-epsilon</f>
        <v>138</v>
      </c>
      <c r="N523" s="28">
        <f t="shared" ref="N523:N586" ca="1" si="49">$I$14+epsilon</f>
        <v>158</v>
      </c>
      <c r="O523" s="42">
        <f t="shared" ca="1" si="47"/>
        <v>1</v>
      </c>
    </row>
    <row r="524" spans="11:15" x14ac:dyDescent="0.25">
      <c r="K524" s="15" t="s">
        <v>1273</v>
      </c>
      <c r="L524" s="16">
        <v>155</v>
      </c>
      <c r="M524" s="28">
        <f t="shared" ca="1" si="48"/>
        <v>138</v>
      </c>
      <c r="N524" s="28">
        <f t="shared" ca="1" si="49"/>
        <v>158</v>
      </c>
      <c r="O524" s="42">
        <f t="shared" ca="1" si="47"/>
        <v>1</v>
      </c>
    </row>
    <row r="525" spans="11:15" x14ac:dyDescent="0.25">
      <c r="K525" s="15" t="s">
        <v>1274</v>
      </c>
      <c r="L525" s="16">
        <v>139</v>
      </c>
      <c r="M525" s="28">
        <f t="shared" ca="1" si="48"/>
        <v>138</v>
      </c>
      <c r="N525" s="28">
        <f t="shared" ca="1" si="49"/>
        <v>158</v>
      </c>
      <c r="O525" s="42">
        <f t="shared" ref="O525:O588" ca="1" si="50">IF(AND(L525&gt;=M525,L525&lt;=N525),1,0)</f>
        <v>1</v>
      </c>
    </row>
    <row r="526" spans="11:15" x14ac:dyDescent="0.25">
      <c r="K526" s="15" t="s">
        <v>1275</v>
      </c>
      <c r="L526" s="16">
        <v>164</v>
      </c>
      <c r="M526" s="28">
        <f t="shared" ca="1" si="48"/>
        <v>138</v>
      </c>
      <c r="N526" s="28">
        <f t="shared" ca="1" si="49"/>
        <v>158</v>
      </c>
      <c r="O526" s="42">
        <f t="shared" ca="1" si="50"/>
        <v>0</v>
      </c>
    </row>
    <row r="527" spans="11:15" x14ac:dyDescent="0.25">
      <c r="K527" s="15" t="s">
        <v>1276</v>
      </c>
      <c r="L527" s="16">
        <v>145</v>
      </c>
      <c r="M527" s="28">
        <f t="shared" ca="1" si="48"/>
        <v>138</v>
      </c>
      <c r="N527" s="28">
        <f t="shared" ca="1" si="49"/>
        <v>158</v>
      </c>
      <c r="O527" s="42">
        <f t="shared" ca="1" si="50"/>
        <v>1</v>
      </c>
    </row>
    <row r="528" spans="11:15" x14ac:dyDescent="0.25">
      <c r="K528" s="15" t="s">
        <v>1277</v>
      </c>
      <c r="L528" s="16">
        <v>129</v>
      </c>
      <c r="M528" s="28">
        <f t="shared" ca="1" si="48"/>
        <v>138</v>
      </c>
      <c r="N528" s="28">
        <f t="shared" ca="1" si="49"/>
        <v>158</v>
      </c>
      <c r="O528" s="42">
        <f t="shared" ca="1" si="50"/>
        <v>0</v>
      </c>
    </row>
    <row r="529" spans="11:15" x14ac:dyDescent="0.25">
      <c r="K529" s="15" t="s">
        <v>1278</v>
      </c>
      <c r="L529" s="16">
        <v>146</v>
      </c>
      <c r="M529" s="28">
        <f t="shared" ca="1" si="48"/>
        <v>138</v>
      </c>
      <c r="N529" s="28">
        <f t="shared" ca="1" si="49"/>
        <v>158</v>
      </c>
      <c r="O529" s="42">
        <f t="shared" ca="1" si="50"/>
        <v>1</v>
      </c>
    </row>
    <row r="530" spans="11:15" x14ac:dyDescent="0.25">
      <c r="K530" s="15" t="s">
        <v>1279</v>
      </c>
      <c r="L530" s="16">
        <v>151</v>
      </c>
      <c r="M530" s="28">
        <f t="shared" ca="1" si="48"/>
        <v>138</v>
      </c>
      <c r="N530" s="28">
        <f t="shared" ca="1" si="49"/>
        <v>158</v>
      </c>
      <c r="O530" s="42">
        <f t="shared" ca="1" si="50"/>
        <v>1</v>
      </c>
    </row>
    <row r="531" spans="11:15" x14ac:dyDescent="0.25">
      <c r="K531" s="15" t="s">
        <v>1280</v>
      </c>
      <c r="L531" s="16">
        <v>128</v>
      </c>
      <c r="M531" s="28">
        <f t="shared" ca="1" si="48"/>
        <v>138</v>
      </c>
      <c r="N531" s="28">
        <f t="shared" ca="1" si="49"/>
        <v>158</v>
      </c>
      <c r="O531" s="42">
        <f t="shared" ca="1" si="50"/>
        <v>0</v>
      </c>
    </row>
    <row r="532" spans="11:15" x14ac:dyDescent="0.25">
      <c r="K532" s="15" t="s">
        <v>1281</v>
      </c>
      <c r="L532" s="16">
        <v>146</v>
      </c>
      <c r="M532" s="28">
        <f t="shared" ca="1" si="48"/>
        <v>138</v>
      </c>
      <c r="N532" s="28">
        <f t="shared" ca="1" si="49"/>
        <v>158</v>
      </c>
      <c r="O532" s="42">
        <f t="shared" ca="1" si="50"/>
        <v>1</v>
      </c>
    </row>
    <row r="533" spans="11:15" x14ac:dyDescent="0.25">
      <c r="K533" s="15" t="s">
        <v>1282</v>
      </c>
      <c r="L533" s="16">
        <v>138</v>
      </c>
      <c r="M533" s="28">
        <f t="shared" ca="1" si="48"/>
        <v>138</v>
      </c>
      <c r="N533" s="28">
        <f t="shared" ca="1" si="49"/>
        <v>158</v>
      </c>
      <c r="O533" s="42">
        <f t="shared" ca="1" si="50"/>
        <v>1</v>
      </c>
    </row>
    <row r="534" spans="11:15" x14ac:dyDescent="0.25">
      <c r="K534" s="15" t="s">
        <v>1283</v>
      </c>
      <c r="L534" s="16">
        <v>138</v>
      </c>
      <c r="M534" s="28">
        <f t="shared" ca="1" si="48"/>
        <v>138</v>
      </c>
      <c r="N534" s="28">
        <f t="shared" ca="1" si="49"/>
        <v>158</v>
      </c>
      <c r="O534" s="42">
        <f t="shared" ca="1" si="50"/>
        <v>1</v>
      </c>
    </row>
    <row r="535" spans="11:15" x14ac:dyDescent="0.25">
      <c r="K535" s="15" t="s">
        <v>1284</v>
      </c>
      <c r="L535" s="16">
        <v>133</v>
      </c>
      <c r="M535" s="28">
        <f t="shared" ca="1" si="48"/>
        <v>138</v>
      </c>
      <c r="N535" s="28">
        <f t="shared" ca="1" si="49"/>
        <v>158</v>
      </c>
      <c r="O535" s="42">
        <f t="shared" ca="1" si="50"/>
        <v>0</v>
      </c>
    </row>
    <row r="536" spans="11:15" x14ac:dyDescent="0.25">
      <c r="K536" s="15" t="s">
        <v>1285</v>
      </c>
      <c r="L536" s="16">
        <v>144</v>
      </c>
      <c r="M536" s="28">
        <f t="shared" ca="1" si="48"/>
        <v>138</v>
      </c>
      <c r="N536" s="28">
        <f t="shared" ca="1" si="49"/>
        <v>158</v>
      </c>
      <c r="O536" s="42">
        <f t="shared" ca="1" si="50"/>
        <v>1</v>
      </c>
    </row>
    <row r="537" spans="11:15" x14ac:dyDescent="0.25">
      <c r="K537" s="15" t="s">
        <v>1286</v>
      </c>
      <c r="L537" s="16">
        <v>142</v>
      </c>
      <c r="M537" s="28">
        <f t="shared" ca="1" si="48"/>
        <v>138</v>
      </c>
      <c r="N537" s="28">
        <f t="shared" ca="1" si="49"/>
        <v>158</v>
      </c>
      <c r="O537" s="42">
        <f t="shared" ca="1" si="50"/>
        <v>1</v>
      </c>
    </row>
    <row r="538" spans="11:15" x14ac:dyDescent="0.25">
      <c r="K538" s="15" t="s">
        <v>1287</v>
      </c>
      <c r="L538" s="16">
        <v>150</v>
      </c>
      <c r="M538" s="28">
        <f t="shared" ca="1" si="48"/>
        <v>138</v>
      </c>
      <c r="N538" s="28">
        <f t="shared" ca="1" si="49"/>
        <v>158</v>
      </c>
      <c r="O538" s="42">
        <f t="shared" ca="1" si="50"/>
        <v>1</v>
      </c>
    </row>
    <row r="539" spans="11:15" x14ac:dyDescent="0.25">
      <c r="K539" s="15" t="s">
        <v>1288</v>
      </c>
      <c r="L539" s="16">
        <v>151</v>
      </c>
      <c r="M539" s="28">
        <f t="shared" ca="1" si="48"/>
        <v>138</v>
      </c>
      <c r="N539" s="28">
        <f t="shared" ca="1" si="49"/>
        <v>158</v>
      </c>
      <c r="O539" s="42">
        <f t="shared" ca="1" si="50"/>
        <v>1</v>
      </c>
    </row>
    <row r="540" spans="11:15" x14ac:dyDescent="0.25">
      <c r="K540" s="15" t="s">
        <v>1289</v>
      </c>
      <c r="L540" s="16">
        <v>139</v>
      </c>
      <c r="M540" s="28">
        <f t="shared" ca="1" si="48"/>
        <v>138</v>
      </c>
      <c r="N540" s="28">
        <f t="shared" ca="1" si="49"/>
        <v>158</v>
      </c>
      <c r="O540" s="42">
        <f t="shared" ca="1" si="50"/>
        <v>1</v>
      </c>
    </row>
    <row r="541" spans="11:15" x14ac:dyDescent="0.25">
      <c r="K541" s="15" t="s">
        <v>1290</v>
      </c>
      <c r="L541" s="16">
        <v>144</v>
      </c>
      <c r="M541" s="28">
        <f t="shared" ca="1" si="48"/>
        <v>138</v>
      </c>
      <c r="N541" s="28">
        <f t="shared" ca="1" si="49"/>
        <v>158</v>
      </c>
      <c r="O541" s="42">
        <f t="shared" ca="1" si="50"/>
        <v>1</v>
      </c>
    </row>
    <row r="542" spans="11:15" x14ac:dyDescent="0.25">
      <c r="K542" s="15" t="s">
        <v>1291</v>
      </c>
      <c r="L542" s="16">
        <v>133</v>
      </c>
      <c r="M542" s="28">
        <f t="shared" ca="1" si="48"/>
        <v>138</v>
      </c>
      <c r="N542" s="28">
        <f t="shared" ca="1" si="49"/>
        <v>158</v>
      </c>
      <c r="O542" s="42">
        <f t="shared" ca="1" si="50"/>
        <v>0</v>
      </c>
    </row>
    <row r="543" spans="11:15" x14ac:dyDescent="0.25">
      <c r="K543" s="15" t="s">
        <v>1292</v>
      </c>
      <c r="L543" s="16">
        <v>147</v>
      </c>
      <c r="M543" s="28">
        <f t="shared" ca="1" si="48"/>
        <v>138</v>
      </c>
      <c r="N543" s="28">
        <f t="shared" ca="1" si="49"/>
        <v>158</v>
      </c>
      <c r="O543" s="42">
        <f t="shared" ca="1" si="50"/>
        <v>1</v>
      </c>
    </row>
    <row r="544" spans="11:15" x14ac:dyDescent="0.25">
      <c r="K544" s="15" t="s">
        <v>1293</v>
      </c>
      <c r="L544" s="16">
        <v>139</v>
      </c>
      <c r="M544" s="28">
        <f t="shared" ca="1" si="48"/>
        <v>138</v>
      </c>
      <c r="N544" s="28">
        <f t="shared" ca="1" si="49"/>
        <v>158</v>
      </c>
      <c r="O544" s="42">
        <f t="shared" ca="1" si="50"/>
        <v>1</v>
      </c>
    </row>
    <row r="545" spans="11:15" x14ac:dyDescent="0.25">
      <c r="K545" s="15" t="s">
        <v>1294</v>
      </c>
      <c r="L545" s="16">
        <v>156</v>
      </c>
      <c r="M545" s="28">
        <f t="shared" ca="1" si="48"/>
        <v>138</v>
      </c>
      <c r="N545" s="28">
        <f t="shared" ca="1" si="49"/>
        <v>158</v>
      </c>
      <c r="O545" s="42">
        <f t="shared" ca="1" si="50"/>
        <v>1</v>
      </c>
    </row>
    <row r="546" spans="11:15" x14ac:dyDescent="0.25">
      <c r="K546" s="15" t="s">
        <v>1295</v>
      </c>
      <c r="L546" s="16">
        <v>144</v>
      </c>
      <c r="M546" s="28">
        <f t="shared" ca="1" si="48"/>
        <v>138</v>
      </c>
      <c r="N546" s="28">
        <f t="shared" ca="1" si="49"/>
        <v>158</v>
      </c>
      <c r="O546" s="42">
        <f t="shared" ca="1" si="50"/>
        <v>1</v>
      </c>
    </row>
    <row r="547" spans="11:15" x14ac:dyDescent="0.25">
      <c r="K547" s="15" t="s">
        <v>1296</v>
      </c>
      <c r="L547" s="16">
        <v>156</v>
      </c>
      <c r="M547" s="28">
        <f t="shared" ca="1" si="48"/>
        <v>138</v>
      </c>
      <c r="N547" s="28">
        <f t="shared" ca="1" si="49"/>
        <v>158</v>
      </c>
      <c r="O547" s="42">
        <f t="shared" ca="1" si="50"/>
        <v>1</v>
      </c>
    </row>
    <row r="548" spans="11:15" x14ac:dyDescent="0.25">
      <c r="K548" s="15" t="s">
        <v>1297</v>
      </c>
      <c r="L548" s="16">
        <v>147</v>
      </c>
      <c r="M548" s="28">
        <f t="shared" ca="1" si="48"/>
        <v>138</v>
      </c>
      <c r="N548" s="28">
        <f t="shared" ca="1" si="49"/>
        <v>158</v>
      </c>
      <c r="O548" s="42">
        <f t="shared" ca="1" si="50"/>
        <v>1</v>
      </c>
    </row>
    <row r="549" spans="11:15" x14ac:dyDescent="0.25">
      <c r="K549" s="15" t="s">
        <v>1298</v>
      </c>
      <c r="L549" s="16">
        <v>147</v>
      </c>
      <c r="M549" s="28">
        <f t="shared" ca="1" si="48"/>
        <v>138</v>
      </c>
      <c r="N549" s="28">
        <f t="shared" ca="1" si="49"/>
        <v>158</v>
      </c>
      <c r="O549" s="42">
        <f t="shared" ca="1" si="50"/>
        <v>1</v>
      </c>
    </row>
    <row r="550" spans="11:15" x14ac:dyDescent="0.25">
      <c r="K550" s="15" t="s">
        <v>1299</v>
      </c>
      <c r="L550" s="16">
        <v>157</v>
      </c>
      <c r="M550" s="28">
        <f t="shared" ca="1" si="48"/>
        <v>138</v>
      </c>
      <c r="N550" s="28">
        <f t="shared" ca="1" si="49"/>
        <v>158</v>
      </c>
      <c r="O550" s="42">
        <f t="shared" ca="1" si="50"/>
        <v>1</v>
      </c>
    </row>
    <row r="551" spans="11:15" x14ac:dyDescent="0.25">
      <c r="K551" s="15" t="s">
        <v>1300</v>
      </c>
      <c r="L551" s="16">
        <v>143</v>
      </c>
      <c r="M551" s="28">
        <f t="shared" ca="1" si="48"/>
        <v>138</v>
      </c>
      <c r="N551" s="28">
        <f t="shared" ca="1" si="49"/>
        <v>158</v>
      </c>
      <c r="O551" s="42">
        <f t="shared" ca="1" si="50"/>
        <v>1</v>
      </c>
    </row>
    <row r="552" spans="11:15" x14ac:dyDescent="0.25">
      <c r="K552" s="15" t="s">
        <v>1301</v>
      </c>
      <c r="L552" s="16">
        <v>134</v>
      </c>
      <c r="M552" s="28">
        <f t="shared" ca="1" si="48"/>
        <v>138</v>
      </c>
      <c r="N552" s="28">
        <f t="shared" ca="1" si="49"/>
        <v>158</v>
      </c>
      <c r="O552" s="42">
        <f t="shared" ca="1" si="50"/>
        <v>0</v>
      </c>
    </row>
    <row r="553" spans="11:15" x14ac:dyDescent="0.25">
      <c r="K553" s="15" t="s">
        <v>1302</v>
      </c>
      <c r="L553" s="16">
        <v>140</v>
      </c>
      <c r="M553" s="28">
        <f t="shared" ca="1" si="48"/>
        <v>138</v>
      </c>
      <c r="N553" s="28">
        <f t="shared" ca="1" si="49"/>
        <v>158</v>
      </c>
      <c r="O553" s="42">
        <f t="shared" ca="1" si="50"/>
        <v>1</v>
      </c>
    </row>
    <row r="554" spans="11:15" x14ac:dyDescent="0.25">
      <c r="K554" s="15" t="s">
        <v>1303</v>
      </c>
      <c r="L554" s="16">
        <v>149</v>
      </c>
      <c r="M554" s="28">
        <f t="shared" ca="1" si="48"/>
        <v>138</v>
      </c>
      <c r="N554" s="28">
        <f t="shared" ca="1" si="49"/>
        <v>158</v>
      </c>
      <c r="O554" s="42">
        <f t="shared" ca="1" si="50"/>
        <v>1</v>
      </c>
    </row>
    <row r="555" spans="11:15" x14ac:dyDescent="0.25">
      <c r="K555" s="15" t="s">
        <v>1304</v>
      </c>
      <c r="L555" s="16">
        <v>139</v>
      </c>
      <c r="M555" s="28">
        <f t="shared" ca="1" si="48"/>
        <v>138</v>
      </c>
      <c r="N555" s="28">
        <f t="shared" ca="1" si="49"/>
        <v>158</v>
      </c>
      <c r="O555" s="42">
        <f t="shared" ca="1" si="50"/>
        <v>1</v>
      </c>
    </row>
    <row r="556" spans="11:15" x14ac:dyDescent="0.25">
      <c r="K556" s="15" t="s">
        <v>1305</v>
      </c>
      <c r="L556" s="16">
        <v>139</v>
      </c>
      <c r="M556" s="28">
        <f t="shared" ca="1" si="48"/>
        <v>138</v>
      </c>
      <c r="N556" s="28">
        <f t="shared" ca="1" si="49"/>
        <v>158</v>
      </c>
      <c r="O556" s="42">
        <f t="shared" ca="1" si="50"/>
        <v>1</v>
      </c>
    </row>
    <row r="557" spans="11:15" x14ac:dyDescent="0.25">
      <c r="K557" s="15" t="s">
        <v>1306</v>
      </c>
      <c r="L557" s="16">
        <v>131</v>
      </c>
      <c r="M557" s="28">
        <f t="shared" ca="1" si="48"/>
        <v>138</v>
      </c>
      <c r="N557" s="28">
        <f t="shared" ca="1" si="49"/>
        <v>158</v>
      </c>
      <c r="O557" s="42">
        <f t="shared" ca="1" si="50"/>
        <v>0</v>
      </c>
    </row>
    <row r="558" spans="11:15" x14ac:dyDescent="0.25">
      <c r="K558" s="15" t="s">
        <v>1307</v>
      </c>
      <c r="L558" s="16">
        <v>153</v>
      </c>
      <c r="M558" s="28">
        <f t="shared" ca="1" si="48"/>
        <v>138</v>
      </c>
      <c r="N558" s="28">
        <f t="shared" ca="1" si="49"/>
        <v>158</v>
      </c>
      <c r="O558" s="42">
        <f t="shared" ca="1" si="50"/>
        <v>1</v>
      </c>
    </row>
    <row r="559" spans="11:15" x14ac:dyDescent="0.25">
      <c r="K559" s="15" t="s">
        <v>1308</v>
      </c>
      <c r="L559" s="16">
        <v>150</v>
      </c>
      <c r="M559" s="28">
        <f t="shared" ca="1" si="48"/>
        <v>138</v>
      </c>
      <c r="N559" s="28">
        <f t="shared" ca="1" si="49"/>
        <v>158</v>
      </c>
      <c r="O559" s="42">
        <f t="shared" ca="1" si="50"/>
        <v>1</v>
      </c>
    </row>
    <row r="560" spans="11:15" x14ac:dyDescent="0.25">
      <c r="K560" s="15" t="s">
        <v>1309</v>
      </c>
      <c r="L560" s="16">
        <v>152</v>
      </c>
      <c r="M560" s="28">
        <f t="shared" ca="1" si="48"/>
        <v>138</v>
      </c>
      <c r="N560" s="28">
        <f t="shared" ca="1" si="49"/>
        <v>158</v>
      </c>
      <c r="O560" s="42">
        <f t="shared" ca="1" si="50"/>
        <v>1</v>
      </c>
    </row>
    <row r="561" spans="11:15" x14ac:dyDescent="0.25">
      <c r="K561" s="15" t="s">
        <v>1310</v>
      </c>
      <c r="L561" s="16">
        <v>144</v>
      </c>
      <c r="M561" s="28">
        <f t="shared" ca="1" si="48"/>
        <v>138</v>
      </c>
      <c r="N561" s="28">
        <f t="shared" ca="1" si="49"/>
        <v>158</v>
      </c>
      <c r="O561" s="42">
        <f t="shared" ca="1" si="50"/>
        <v>1</v>
      </c>
    </row>
    <row r="562" spans="11:15" x14ac:dyDescent="0.25">
      <c r="K562" s="15" t="s">
        <v>1311</v>
      </c>
      <c r="L562" s="16">
        <v>138</v>
      </c>
      <c r="M562" s="28">
        <f t="shared" ca="1" si="48"/>
        <v>138</v>
      </c>
      <c r="N562" s="28">
        <f t="shared" ca="1" si="49"/>
        <v>158</v>
      </c>
      <c r="O562" s="42">
        <f t="shared" ca="1" si="50"/>
        <v>1</v>
      </c>
    </row>
    <row r="563" spans="11:15" x14ac:dyDescent="0.25">
      <c r="K563" s="15" t="s">
        <v>1312</v>
      </c>
      <c r="L563" s="16">
        <v>144</v>
      </c>
      <c r="M563" s="28">
        <f t="shared" ca="1" si="48"/>
        <v>138</v>
      </c>
      <c r="N563" s="28">
        <f t="shared" ca="1" si="49"/>
        <v>158</v>
      </c>
      <c r="O563" s="42">
        <f t="shared" ca="1" si="50"/>
        <v>1</v>
      </c>
    </row>
    <row r="564" spans="11:15" x14ac:dyDescent="0.25">
      <c r="K564" s="15" t="s">
        <v>1313</v>
      </c>
      <c r="L564" s="16">
        <v>168</v>
      </c>
      <c r="M564" s="28">
        <f t="shared" ca="1" si="48"/>
        <v>138</v>
      </c>
      <c r="N564" s="28">
        <f t="shared" ca="1" si="49"/>
        <v>158</v>
      </c>
      <c r="O564" s="42">
        <f t="shared" ca="1" si="50"/>
        <v>0</v>
      </c>
    </row>
    <row r="565" spans="11:15" x14ac:dyDescent="0.25">
      <c r="K565" s="15" t="s">
        <v>1314</v>
      </c>
      <c r="L565" s="16">
        <v>160</v>
      </c>
      <c r="M565" s="28">
        <f t="shared" ca="1" si="48"/>
        <v>138</v>
      </c>
      <c r="N565" s="28">
        <f t="shared" ca="1" si="49"/>
        <v>158</v>
      </c>
      <c r="O565" s="42">
        <f t="shared" ca="1" si="50"/>
        <v>0</v>
      </c>
    </row>
    <row r="566" spans="11:15" x14ac:dyDescent="0.25">
      <c r="K566" s="15" t="s">
        <v>1315</v>
      </c>
      <c r="L566" s="16">
        <v>152</v>
      </c>
      <c r="M566" s="28">
        <f t="shared" ca="1" si="48"/>
        <v>138</v>
      </c>
      <c r="N566" s="28">
        <f t="shared" ca="1" si="49"/>
        <v>158</v>
      </c>
      <c r="O566" s="42">
        <f t="shared" ca="1" si="50"/>
        <v>1</v>
      </c>
    </row>
    <row r="567" spans="11:15" x14ac:dyDescent="0.25">
      <c r="K567" s="15" t="s">
        <v>1316</v>
      </c>
      <c r="L567" s="16">
        <v>148</v>
      </c>
      <c r="M567" s="28">
        <f t="shared" ca="1" si="48"/>
        <v>138</v>
      </c>
      <c r="N567" s="28">
        <f t="shared" ca="1" si="49"/>
        <v>158</v>
      </c>
      <c r="O567" s="42">
        <f t="shared" ca="1" si="50"/>
        <v>1</v>
      </c>
    </row>
    <row r="568" spans="11:15" x14ac:dyDescent="0.25">
      <c r="K568" s="15" t="s">
        <v>1317</v>
      </c>
      <c r="L568" s="16">
        <v>157</v>
      </c>
      <c r="M568" s="28">
        <f t="shared" ca="1" si="48"/>
        <v>138</v>
      </c>
      <c r="N568" s="28">
        <f t="shared" ca="1" si="49"/>
        <v>158</v>
      </c>
      <c r="O568" s="42">
        <f t="shared" ca="1" si="50"/>
        <v>1</v>
      </c>
    </row>
    <row r="569" spans="11:15" x14ac:dyDescent="0.25">
      <c r="K569" s="15" t="s">
        <v>1318</v>
      </c>
      <c r="L569" s="16">
        <v>151</v>
      </c>
      <c r="M569" s="28">
        <f t="shared" ca="1" si="48"/>
        <v>138</v>
      </c>
      <c r="N569" s="28">
        <f t="shared" ca="1" si="49"/>
        <v>158</v>
      </c>
      <c r="O569" s="42">
        <f t="shared" ca="1" si="50"/>
        <v>1</v>
      </c>
    </row>
    <row r="570" spans="11:15" x14ac:dyDescent="0.25">
      <c r="K570" s="15" t="s">
        <v>1319</v>
      </c>
      <c r="L570" s="16">
        <v>147</v>
      </c>
      <c r="M570" s="28">
        <f t="shared" ca="1" si="48"/>
        <v>138</v>
      </c>
      <c r="N570" s="28">
        <f t="shared" ca="1" si="49"/>
        <v>158</v>
      </c>
      <c r="O570" s="42">
        <f t="shared" ca="1" si="50"/>
        <v>1</v>
      </c>
    </row>
    <row r="571" spans="11:15" x14ac:dyDescent="0.25">
      <c r="K571" s="15" t="s">
        <v>1320</v>
      </c>
      <c r="L571" s="16">
        <v>139</v>
      </c>
      <c r="M571" s="28">
        <f t="shared" ca="1" si="48"/>
        <v>138</v>
      </c>
      <c r="N571" s="28">
        <f t="shared" ca="1" si="49"/>
        <v>158</v>
      </c>
      <c r="O571" s="42">
        <f t="shared" ca="1" si="50"/>
        <v>1</v>
      </c>
    </row>
    <row r="572" spans="11:15" x14ac:dyDescent="0.25">
      <c r="K572" s="15" t="s">
        <v>1321</v>
      </c>
      <c r="L572" s="16">
        <v>154</v>
      </c>
      <c r="M572" s="28">
        <f t="shared" ca="1" si="48"/>
        <v>138</v>
      </c>
      <c r="N572" s="28">
        <f t="shared" ca="1" si="49"/>
        <v>158</v>
      </c>
      <c r="O572" s="42">
        <f t="shared" ca="1" si="50"/>
        <v>1</v>
      </c>
    </row>
    <row r="573" spans="11:15" x14ac:dyDescent="0.25">
      <c r="K573" s="15" t="s">
        <v>1322</v>
      </c>
      <c r="L573" s="16">
        <v>165</v>
      </c>
      <c r="M573" s="28">
        <f t="shared" ca="1" si="48"/>
        <v>138</v>
      </c>
      <c r="N573" s="28">
        <f t="shared" ca="1" si="49"/>
        <v>158</v>
      </c>
      <c r="O573" s="42">
        <f t="shared" ca="1" si="50"/>
        <v>0</v>
      </c>
    </row>
    <row r="574" spans="11:15" x14ac:dyDescent="0.25">
      <c r="K574" s="15" t="s">
        <v>1323</v>
      </c>
      <c r="L574" s="16">
        <v>154</v>
      </c>
      <c r="M574" s="28">
        <f t="shared" ca="1" si="48"/>
        <v>138</v>
      </c>
      <c r="N574" s="28">
        <f t="shared" ca="1" si="49"/>
        <v>158</v>
      </c>
      <c r="O574" s="42">
        <f t="shared" ca="1" si="50"/>
        <v>1</v>
      </c>
    </row>
    <row r="575" spans="11:15" x14ac:dyDescent="0.25">
      <c r="K575" s="15" t="s">
        <v>1324</v>
      </c>
      <c r="L575" s="16">
        <v>126</v>
      </c>
      <c r="M575" s="28">
        <f t="shared" ca="1" si="48"/>
        <v>138</v>
      </c>
      <c r="N575" s="28">
        <f t="shared" ca="1" si="49"/>
        <v>158</v>
      </c>
      <c r="O575" s="42">
        <f t="shared" ca="1" si="50"/>
        <v>0</v>
      </c>
    </row>
    <row r="576" spans="11:15" x14ac:dyDescent="0.25">
      <c r="K576" s="15" t="s">
        <v>1325</v>
      </c>
      <c r="L576" s="16">
        <v>154</v>
      </c>
      <c r="M576" s="28">
        <f t="shared" ca="1" si="48"/>
        <v>138</v>
      </c>
      <c r="N576" s="28">
        <f t="shared" ca="1" si="49"/>
        <v>158</v>
      </c>
      <c r="O576" s="42">
        <f t="shared" ca="1" si="50"/>
        <v>1</v>
      </c>
    </row>
    <row r="577" spans="11:15" x14ac:dyDescent="0.25">
      <c r="K577" s="15" t="s">
        <v>1326</v>
      </c>
      <c r="L577" s="16">
        <v>139</v>
      </c>
      <c r="M577" s="28">
        <f t="shared" ca="1" si="48"/>
        <v>138</v>
      </c>
      <c r="N577" s="28">
        <f t="shared" ca="1" si="49"/>
        <v>158</v>
      </c>
      <c r="O577" s="42">
        <f t="shared" ca="1" si="50"/>
        <v>1</v>
      </c>
    </row>
    <row r="578" spans="11:15" x14ac:dyDescent="0.25">
      <c r="K578" s="15" t="s">
        <v>1327</v>
      </c>
      <c r="L578" s="16">
        <v>146</v>
      </c>
      <c r="M578" s="28">
        <f t="shared" ca="1" si="48"/>
        <v>138</v>
      </c>
      <c r="N578" s="28">
        <f t="shared" ca="1" si="49"/>
        <v>158</v>
      </c>
      <c r="O578" s="42">
        <f t="shared" ca="1" si="50"/>
        <v>1</v>
      </c>
    </row>
    <row r="579" spans="11:15" x14ac:dyDescent="0.25">
      <c r="K579" s="15" t="s">
        <v>1328</v>
      </c>
      <c r="L579" s="16">
        <v>156</v>
      </c>
      <c r="M579" s="28">
        <f t="shared" ca="1" si="48"/>
        <v>138</v>
      </c>
      <c r="N579" s="28">
        <f t="shared" ca="1" si="49"/>
        <v>158</v>
      </c>
      <c r="O579" s="42">
        <f t="shared" ca="1" si="50"/>
        <v>1</v>
      </c>
    </row>
    <row r="580" spans="11:15" x14ac:dyDescent="0.25">
      <c r="K580" s="15" t="s">
        <v>1329</v>
      </c>
      <c r="L580" s="16">
        <v>149</v>
      </c>
      <c r="M580" s="28">
        <f t="shared" ca="1" si="48"/>
        <v>138</v>
      </c>
      <c r="N580" s="28">
        <f t="shared" ca="1" si="49"/>
        <v>158</v>
      </c>
      <c r="O580" s="42">
        <f t="shared" ca="1" si="50"/>
        <v>1</v>
      </c>
    </row>
    <row r="581" spans="11:15" x14ac:dyDescent="0.25">
      <c r="K581" s="15" t="s">
        <v>1330</v>
      </c>
      <c r="L581" s="16">
        <v>146</v>
      </c>
      <c r="M581" s="28">
        <f t="shared" ca="1" si="48"/>
        <v>138</v>
      </c>
      <c r="N581" s="28">
        <f t="shared" ca="1" si="49"/>
        <v>158</v>
      </c>
      <c r="O581" s="42">
        <f t="shared" ca="1" si="50"/>
        <v>1</v>
      </c>
    </row>
    <row r="582" spans="11:15" x14ac:dyDescent="0.25">
      <c r="K582" s="15" t="s">
        <v>1331</v>
      </c>
      <c r="L582" s="16">
        <v>153</v>
      </c>
      <c r="M582" s="28">
        <f t="shared" ca="1" si="48"/>
        <v>138</v>
      </c>
      <c r="N582" s="28">
        <f t="shared" ca="1" si="49"/>
        <v>158</v>
      </c>
      <c r="O582" s="42">
        <f t="shared" ca="1" si="50"/>
        <v>1</v>
      </c>
    </row>
    <row r="583" spans="11:15" x14ac:dyDescent="0.25">
      <c r="K583" s="15" t="s">
        <v>1332</v>
      </c>
      <c r="L583" s="16">
        <v>160</v>
      </c>
      <c r="M583" s="28">
        <f t="shared" ca="1" si="48"/>
        <v>138</v>
      </c>
      <c r="N583" s="28">
        <f t="shared" ca="1" si="49"/>
        <v>158</v>
      </c>
      <c r="O583" s="42">
        <f t="shared" ca="1" si="50"/>
        <v>0</v>
      </c>
    </row>
    <row r="584" spans="11:15" x14ac:dyDescent="0.25">
      <c r="K584" s="15" t="s">
        <v>1333</v>
      </c>
      <c r="L584" s="16">
        <v>154</v>
      </c>
      <c r="M584" s="28">
        <f t="shared" ca="1" si="48"/>
        <v>138</v>
      </c>
      <c r="N584" s="28">
        <f t="shared" ca="1" si="49"/>
        <v>158</v>
      </c>
      <c r="O584" s="42">
        <f t="shared" ca="1" si="50"/>
        <v>1</v>
      </c>
    </row>
    <row r="585" spans="11:15" x14ac:dyDescent="0.25">
      <c r="K585" s="15" t="s">
        <v>1334</v>
      </c>
      <c r="L585" s="16">
        <v>157</v>
      </c>
      <c r="M585" s="28">
        <f t="shared" ca="1" si="48"/>
        <v>138</v>
      </c>
      <c r="N585" s="28">
        <f t="shared" ca="1" si="49"/>
        <v>158</v>
      </c>
      <c r="O585" s="42">
        <f t="shared" ca="1" si="50"/>
        <v>1</v>
      </c>
    </row>
    <row r="586" spans="11:15" x14ac:dyDescent="0.25">
      <c r="K586" s="15" t="s">
        <v>1335</v>
      </c>
      <c r="L586" s="16">
        <v>153</v>
      </c>
      <c r="M586" s="28">
        <f t="shared" ca="1" si="48"/>
        <v>138</v>
      </c>
      <c r="N586" s="28">
        <f t="shared" ca="1" si="49"/>
        <v>158</v>
      </c>
      <c r="O586" s="42">
        <f t="shared" ca="1" si="50"/>
        <v>1</v>
      </c>
    </row>
    <row r="587" spans="11:15" x14ac:dyDescent="0.25">
      <c r="K587" s="15" t="s">
        <v>1336</v>
      </c>
      <c r="L587" s="16">
        <v>158</v>
      </c>
      <c r="M587" s="28">
        <f t="shared" ref="M587:M650" ca="1" si="51">$I$14-epsilon</f>
        <v>138</v>
      </c>
      <c r="N587" s="28">
        <f t="shared" ref="N587:N650" ca="1" si="52">$I$14+epsilon</f>
        <v>158</v>
      </c>
      <c r="O587" s="42">
        <f t="shared" ca="1" si="50"/>
        <v>1</v>
      </c>
    </row>
    <row r="588" spans="11:15" x14ac:dyDescent="0.25">
      <c r="K588" s="15" t="s">
        <v>1337</v>
      </c>
      <c r="L588" s="16">
        <v>151</v>
      </c>
      <c r="M588" s="28">
        <f t="shared" ca="1" si="51"/>
        <v>138</v>
      </c>
      <c r="N588" s="28">
        <f t="shared" ca="1" si="52"/>
        <v>158</v>
      </c>
      <c r="O588" s="42">
        <f t="shared" ca="1" si="50"/>
        <v>1</v>
      </c>
    </row>
    <row r="589" spans="11:15" x14ac:dyDescent="0.25">
      <c r="K589" s="15" t="s">
        <v>1338</v>
      </c>
      <c r="L589" s="16">
        <v>157</v>
      </c>
      <c r="M589" s="28">
        <f t="shared" ca="1" si="51"/>
        <v>138</v>
      </c>
      <c r="N589" s="28">
        <f t="shared" ca="1" si="52"/>
        <v>158</v>
      </c>
      <c r="O589" s="42">
        <f t="shared" ref="O589:O652" ca="1" si="53">IF(AND(L589&gt;=M589,L589&lt;=N589),1,0)</f>
        <v>1</v>
      </c>
    </row>
    <row r="590" spans="11:15" x14ac:dyDescent="0.25">
      <c r="K590" s="15" t="s">
        <v>1339</v>
      </c>
      <c r="L590" s="16">
        <v>153</v>
      </c>
      <c r="M590" s="28">
        <f t="shared" ca="1" si="51"/>
        <v>138</v>
      </c>
      <c r="N590" s="28">
        <f t="shared" ca="1" si="52"/>
        <v>158</v>
      </c>
      <c r="O590" s="42">
        <f t="shared" ca="1" si="53"/>
        <v>1</v>
      </c>
    </row>
    <row r="591" spans="11:15" x14ac:dyDescent="0.25">
      <c r="K591" s="15" t="s">
        <v>1340</v>
      </c>
      <c r="L591" s="16">
        <v>152</v>
      </c>
      <c r="M591" s="28">
        <f t="shared" ca="1" si="51"/>
        <v>138</v>
      </c>
      <c r="N591" s="28">
        <f t="shared" ca="1" si="52"/>
        <v>158</v>
      </c>
      <c r="O591" s="42">
        <f t="shared" ca="1" si="53"/>
        <v>1</v>
      </c>
    </row>
    <row r="592" spans="11:15" x14ac:dyDescent="0.25">
      <c r="K592" s="15" t="s">
        <v>1341</v>
      </c>
      <c r="L592" s="16">
        <v>147</v>
      </c>
      <c r="M592" s="28">
        <f t="shared" ca="1" si="51"/>
        <v>138</v>
      </c>
      <c r="N592" s="28">
        <f t="shared" ca="1" si="52"/>
        <v>158</v>
      </c>
      <c r="O592" s="42">
        <f t="shared" ca="1" si="53"/>
        <v>1</v>
      </c>
    </row>
    <row r="593" spans="11:15" x14ac:dyDescent="0.25">
      <c r="K593" s="15" t="s">
        <v>1342</v>
      </c>
      <c r="L593" s="16">
        <v>159</v>
      </c>
      <c r="M593" s="28">
        <f t="shared" ca="1" si="51"/>
        <v>138</v>
      </c>
      <c r="N593" s="28">
        <f t="shared" ca="1" si="52"/>
        <v>158</v>
      </c>
      <c r="O593" s="42">
        <f t="shared" ca="1" si="53"/>
        <v>0</v>
      </c>
    </row>
    <row r="594" spans="11:15" x14ac:dyDescent="0.25">
      <c r="K594" s="15" t="s">
        <v>1343</v>
      </c>
      <c r="L594" s="16">
        <v>142</v>
      </c>
      <c r="M594" s="28">
        <f t="shared" ca="1" si="51"/>
        <v>138</v>
      </c>
      <c r="N594" s="28">
        <f t="shared" ca="1" si="52"/>
        <v>158</v>
      </c>
      <c r="O594" s="42">
        <f t="shared" ca="1" si="53"/>
        <v>1</v>
      </c>
    </row>
    <row r="595" spans="11:15" x14ac:dyDescent="0.25">
      <c r="K595" s="15" t="s">
        <v>1344</v>
      </c>
      <c r="L595" s="16">
        <v>145</v>
      </c>
      <c r="M595" s="28">
        <f t="shared" ca="1" si="51"/>
        <v>138</v>
      </c>
      <c r="N595" s="28">
        <f t="shared" ca="1" si="52"/>
        <v>158</v>
      </c>
      <c r="O595" s="42">
        <f t="shared" ca="1" si="53"/>
        <v>1</v>
      </c>
    </row>
    <row r="596" spans="11:15" x14ac:dyDescent="0.25">
      <c r="K596" s="15" t="s">
        <v>1345</v>
      </c>
      <c r="L596" s="16">
        <v>154</v>
      </c>
      <c r="M596" s="28">
        <f t="shared" ca="1" si="51"/>
        <v>138</v>
      </c>
      <c r="N596" s="28">
        <f t="shared" ca="1" si="52"/>
        <v>158</v>
      </c>
      <c r="O596" s="42">
        <f t="shared" ca="1" si="53"/>
        <v>1</v>
      </c>
    </row>
    <row r="597" spans="11:15" x14ac:dyDescent="0.25">
      <c r="K597" s="15" t="s">
        <v>1346</v>
      </c>
      <c r="L597" s="16">
        <v>143</v>
      </c>
      <c r="M597" s="28">
        <f t="shared" ca="1" si="51"/>
        <v>138</v>
      </c>
      <c r="N597" s="28">
        <f t="shared" ca="1" si="52"/>
        <v>158</v>
      </c>
      <c r="O597" s="42">
        <f t="shared" ca="1" si="53"/>
        <v>1</v>
      </c>
    </row>
    <row r="598" spans="11:15" x14ac:dyDescent="0.25">
      <c r="K598" s="15" t="s">
        <v>1347</v>
      </c>
      <c r="L598" s="16">
        <v>158</v>
      </c>
      <c r="M598" s="28">
        <f t="shared" ca="1" si="51"/>
        <v>138</v>
      </c>
      <c r="N598" s="28">
        <f t="shared" ca="1" si="52"/>
        <v>158</v>
      </c>
      <c r="O598" s="42">
        <f t="shared" ca="1" si="53"/>
        <v>1</v>
      </c>
    </row>
    <row r="599" spans="11:15" x14ac:dyDescent="0.25">
      <c r="K599" s="15" t="s">
        <v>1348</v>
      </c>
      <c r="L599" s="16">
        <v>144</v>
      </c>
      <c r="M599" s="28">
        <f t="shared" ca="1" si="51"/>
        <v>138</v>
      </c>
      <c r="N599" s="28">
        <f t="shared" ca="1" si="52"/>
        <v>158</v>
      </c>
      <c r="O599" s="42">
        <f t="shared" ca="1" si="53"/>
        <v>1</v>
      </c>
    </row>
    <row r="600" spans="11:15" x14ac:dyDescent="0.25">
      <c r="K600" s="15" t="s">
        <v>1349</v>
      </c>
      <c r="L600" s="16">
        <v>141</v>
      </c>
      <c r="M600" s="28">
        <f t="shared" ca="1" si="51"/>
        <v>138</v>
      </c>
      <c r="N600" s="28">
        <f t="shared" ca="1" si="52"/>
        <v>158</v>
      </c>
      <c r="O600" s="42">
        <f t="shared" ca="1" si="53"/>
        <v>1</v>
      </c>
    </row>
    <row r="601" spans="11:15" x14ac:dyDescent="0.25">
      <c r="K601" s="15" t="s">
        <v>1350</v>
      </c>
      <c r="L601" s="16">
        <v>152</v>
      </c>
      <c r="M601" s="28">
        <f t="shared" ca="1" si="51"/>
        <v>138</v>
      </c>
      <c r="N601" s="28">
        <f t="shared" ca="1" si="52"/>
        <v>158</v>
      </c>
      <c r="O601" s="42">
        <f t="shared" ca="1" si="53"/>
        <v>1</v>
      </c>
    </row>
    <row r="602" spans="11:15" x14ac:dyDescent="0.25">
      <c r="K602" s="15" t="s">
        <v>1351</v>
      </c>
      <c r="L602" s="16">
        <v>144</v>
      </c>
      <c r="M602" s="28">
        <f t="shared" ca="1" si="51"/>
        <v>138</v>
      </c>
      <c r="N602" s="28">
        <f t="shared" ca="1" si="52"/>
        <v>158</v>
      </c>
      <c r="O602" s="42">
        <f t="shared" ca="1" si="53"/>
        <v>1</v>
      </c>
    </row>
    <row r="603" spans="11:15" x14ac:dyDescent="0.25">
      <c r="K603" s="15" t="s">
        <v>1352</v>
      </c>
      <c r="L603" s="16">
        <v>130</v>
      </c>
      <c r="M603" s="28">
        <f t="shared" ca="1" si="51"/>
        <v>138</v>
      </c>
      <c r="N603" s="28">
        <f t="shared" ca="1" si="52"/>
        <v>158</v>
      </c>
      <c r="O603" s="42">
        <f t="shared" ca="1" si="53"/>
        <v>0</v>
      </c>
    </row>
    <row r="604" spans="11:15" x14ac:dyDescent="0.25">
      <c r="K604" s="15" t="s">
        <v>1353</v>
      </c>
      <c r="L604" s="16">
        <v>144</v>
      </c>
      <c r="M604" s="28">
        <f t="shared" ca="1" si="51"/>
        <v>138</v>
      </c>
      <c r="N604" s="28">
        <f t="shared" ca="1" si="52"/>
        <v>158</v>
      </c>
      <c r="O604" s="42">
        <f t="shared" ca="1" si="53"/>
        <v>1</v>
      </c>
    </row>
    <row r="605" spans="11:15" x14ac:dyDescent="0.25">
      <c r="K605" s="15" t="s">
        <v>1354</v>
      </c>
      <c r="L605" s="16">
        <v>140</v>
      </c>
      <c r="M605" s="28">
        <f t="shared" ca="1" si="51"/>
        <v>138</v>
      </c>
      <c r="N605" s="28">
        <f t="shared" ca="1" si="52"/>
        <v>158</v>
      </c>
      <c r="O605" s="42">
        <f t="shared" ca="1" si="53"/>
        <v>1</v>
      </c>
    </row>
    <row r="606" spans="11:15" x14ac:dyDescent="0.25">
      <c r="K606" s="15" t="s">
        <v>1355</v>
      </c>
      <c r="L606" s="16">
        <v>145</v>
      </c>
      <c r="M606" s="28">
        <f t="shared" ca="1" si="51"/>
        <v>138</v>
      </c>
      <c r="N606" s="28">
        <f t="shared" ca="1" si="52"/>
        <v>158</v>
      </c>
      <c r="O606" s="42">
        <f t="shared" ca="1" si="53"/>
        <v>1</v>
      </c>
    </row>
    <row r="607" spans="11:15" x14ac:dyDescent="0.25">
      <c r="K607" s="15" t="s">
        <v>1356</v>
      </c>
      <c r="L607" s="16">
        <v>137</v>
      </c>
      <c r="M607" s="28">
        <f t="shared" ca="1" si="51"/>
        <v>138</v>
      </c>
      <c r="N607" s="28">
        <f t="shared" ca="1" si="52"/>
        <v>158</v>
      </c>
      <c r="O607" s="42">
        <f t="shared" ca="1" si="53"/>
        <v>0</v>
      </c>
    </row>
    <row r="608" spans="11:15" x14ac:dyDescent="0.25">
      <c r="K608" s="15" t="s">
        <v>1357</v>
      </c>
      <c r="L608" s="16">
        <v>149</v>
      </c>
      <c r="M608" s="28">
        <f t="shared" ca="1" si="51"/>
        <v>138</v>
      </c>
      <c r="N608" s="28">
        <f t="shared" ca="1" si="52"/>
        <v>158</v>
      </c>
      <c r="O608" s="42">
        <f t="shared" ca="1" si="53"/>
        <v>1</v>
      </c>
    </row>
    <row r="609" spans="11:15" x14ac:dyDescent="0.25">
      <c r="K609" s="15" t="s">
        <v>1358</v>
      </c>
      <c r="L609" s="16">
        <v>147</v>
      </c>
      <c r="M609" s="28">
        <f t="shared" ca="1" si="51"/>
        <v>138</v>
      </c>
      <c r="N609" s="28">
        <f t="shared" ca="1" si="52"/>
        <v>158</v>
      </c>
      <c r="O609" s="42">
        <f t="shared" ca="1" si="53"/>
        <v>1</v>
      </c>
    </row>
    <row r="610" spans="11:15" x14ac:dyDescent="0.25">
      <c r="K610" s="15" t="s">
        <v>1359</v>
      </c>
      <c r="L610" s="16">
        <v>152</v>
      </c>
      <c r="M610" s="28">
        <f t="shared" ca="1" si="51"/>
        <v>138</v>
      </c>
      <c r="N610" s="28">
        <f t="shared" ca="1" si="52"/>
        <v>158</v>
      </c>
      <c r="O610" s="42">
        <f t="shared" ca="1" si="53"/>
        <v>1</v>
      </c>
    </row>
    <row r="611" spans="11:15" x14ac:dyDescent="0.25">
      <c r="K611" s="15" t="s">
        <v>1360</v>
      </c>
      <c r="L611" s="16">
        <v>158</v>
      </c>
      <c r="M611" s="28">
        <f t="shared" ca="1" si="51"/>
        <v>138</v>
      </c>
      <c r="N611" s="28">
        <f t="shared" ca="1" si="52"/>
        <v>158</v>
      </c>
      <c r="O611" s="42">
        <f t="shared" ca="1" si="53"/>
        <v>1</v>
      </c>
    </row>
    <row r="612" spans="11:15" x14ac:dyDescent="0.25">
      <c r="K612" s="15" t="s">
        <v>1361</v>
      </c>
      <c r="L612" s="16">
        <v>152</v>
      </c>
      <c r="M612" s="28">
        <f t="shared" ca="1" si="51"/>
        <v>138</v>
      </c>
      <c r="N612" s="28">
        <f t="shared" ca="1" si="52"/>
        <v>158</v>
      </c>
      <c r="O612" s="42">
        <f t="shared" ca="1" si="53"/>
        <v>1</v>
      </c>
    </row>
    <row r="613" spans="11:15" x14ac:dyDescent="0.25">
      <c r="K613" s="15" t="s">
        <v>1362</v>
      </c>
      <c r="L613" s="16">
        <v>148</v>
      </c>
      <c r="M613" s="28">
        <f t="shared" ca="1" si="51"/>
        <v>138</v>
      </c>
      <c r="N613" s="28">
        <f t="shared" ca="1" si="52"/>
        <v>158</v>
      </c>
      <c r="O613" s="42">
        <f t="shared" ca="1" si="53"/>
        <v>1</v>
      </c>
    </row>
    <row r="614" spans="11:15" x14ac:dyDescent="0.25">
      <c r="K614" s="15" t="s">
        <v>1363</v>
      </c>
      <c r="L614" s="16">
        <v>151</v>
      </c>
      <c r="M614" s="28">
        <f t="shared" ca="1" si="51"/>
        <v>138</v>
      </c>
      <c r="N614" s="28">
        <f t="shared" ca="1" si="52"/>
        <v>158</v>
      </c>
      <c r="O614" s="42">
        <f t="shared" ca="1" si="53"/>
        <v>1</v>
      </c>
    </row>
    <row r="615" spans="11:15" x14ac:dyDescent="0.25">
      <c r="K615" s="15" t="s">
        <v>1364</v>
      </c>
      <c r="L615" s="16">
        <v>145</v>
      </c>
      <c r="M615" s="28">
        <f t="shared" ca="1" si="51"/>
        <v>138</v>
      </c>
      <c r="N615" s="28">
        <f t="shared" ca="1" si="52"/>
        <v>158</v>
      </c>
      <c r="O615" s="42">
        <f t="shared" ca="1" si="53"/>
        <v>1</v>
      </c>
    </row>
    <row r="616" spans="11:15" x14ac:dyDescent="0.25">
      <c r="K616" s="15" t="s">
        <v>1365</v>
      </c>
      <c r="L616" s="16">
        <v>139</v>
      </c>
      <c r="M616" s="28">
        <f t="shared" ca="1" si="51"/>
        <v>138</v>
      </c>
      <c r="N616" s="28">
        <f t="shared" ca="1" si="52"/>
        <v>158</v>
      </c>
      <c r="O616" s="42">
        <f t="shared" ca="1" si="53"/>
        <v>1</v>
      </c>
    </row>
    <row r="617" spans="11:15" x14ac:dyDescent="0.25">
      <c r="K617" s="15" t="s">
        <v>1366</v>
      </c>
      <c r="L617" s="16">
        <v>147</v>
      </c>
      <c r="M617" s="28">
        <f t="shared" ca="1" si="51"/>
        <v>138</v>
      </c>
      <c r="N617" s="28">
        <f t="shared" ca="1" si="52"/>
        <v>158</v>
      </c>
      <c r="O617" s="42">
        <f t="shared" ca="1" si="53"/>
        <v>1</v>
      </c>
    </row>
    <row r="618" spans="11:15" x14ac:dyDescent="0.25">
      <c r="K618" s="15" t="s">
        <v>1367</v>
      </c>
      <c r="L618" s="16">
        <v>148</v>
      </c>
      <c r="M618" s="28">
        <f t="shared" ca="1" si="51"/>
        <v>138</v>
      </c>
      <c r="N618" s="28">
        <f t="shared" ca="1" si="52"/>
        <v>158</v>
      </c>
      <c r="O618" s="42">
        <f t="shared" ca="1" si="53"/>
        <v>1</v>
      </c>
    </row>
    <row r="619" spans="11:15" x14ac:dyDescent="0.25">
      <c r="K619" s="15" t="s">
        <v>1368</v>
      </c>
      <c r="L619" s="16">
        <v>135</v>
      </c>
      <c r="M619" s="28">
        <f t="shared" ca="1" si="51"/>
        <v>138</v>
      </c>
      <c r="N619" s="28">
        <f t="shared" ca="1" si="52"/>
        <v>158</v>
      </c>
      <c r="O619" s="42">
        <f t="shared" ca="1" si="53"/>
        <v>0</v>
      </c>
    </row>
    <row r="620" spans="11:15" x14ac:dyDescent="0.25">
      <c r="K620" s="15" t="s">
        <v>1369</v>
      </c>
      <c r="L620" s="16">
        <v>158</v>
      </c>
      <c r="M620" s="28">
        <f t="shared" ca="1" si="51"/>
        <v>138</v>
      </c>
      <c r="N620" s="28">
        <f t="shared" ca="1" si="52"/>
        <v>158</v>
      </c>
      <c r="O620" s="42">
        <f t="shared" ca="1" si="53"/>
        <v>1</v>
      </c>
    </row>
    <row r="621" spans="11:15" x14ac:dyDescent="0.25">
      <c r="K621" s="15" t="s">
        <v>1370</v>
      </c>
      <c r="L621" s="16">
        <v>157</v>
      </c>
      <c r="M621" s="28">
        <f t="shared" ca="1" si="51"/>
        <v>138</v>
      </c>
      <c r="N621" s="28">
        <f t="shared" ca="1" si="52"/>
        <v>158</v>
      </c>
      <c r="O621" s="42">
        <f t="shared" ca="1" si="53"/>
        <v>1</v>
      </c>
    </row>
    <row r="622" spans="11:15" x14ac:dyDescent="0.25">
      <c r="K622" s="15" t="s">
        <v>1371</v>
      </c>
      <c r="L622" s="16">
        <v>144</v>
      </c>
      <c r="M622" s="28">
        <f t="shared" ca="1" si="51"/>
        <v>138</v>
      </c>
      <c r="N622" s="28">
        <f t="shared" ca="1" si="52"/>
        <v>158</v>
      </c>
      <c r="O622" s="42">
        <f t="shared" ca="1" si="53"/>
        <v>1</v>
      </c>
    </row>
    <row r="623" spans="11:15" x14ac:dyDescent="0.25">
      <c r="K623" s="15" t="s">
        <v>1372</v>
      </c>
      <c r="L623" s="16">
        <v>161</v>
      </c>
      <c r="M623" s="28">
        <f t="shared" ca="1" si="51"/>
        <v>138</v>
      </c>
      <c r="N623" s="28">
        <f t="shared" ca="1" si="52"/>
        <v>158</v>
      </c>
      <c r="O623" s="42">
        <f t="shared" ca="1" si="53"/>
        <v>0</v>
      </c>
    </row>
    <row r="624" spans="11:15" x14ac:dyDescent="0.25">
      <c r="K624" s="15" t="s">
        <v>1373</v>
      </c>
      <c r="L624" s="16">
        <v>149</v>
      </c>
      <c r="M624" s="28">
        <f t="shared" ca="1" si="51"/>
        <v>138</v>
      </c>
      <c r="N624" s="28">
        <f t="shared" ca="1" si="52"/>
        <v>158</v>
      </c>
      <c r="O624" s="42">
        <f t="shared" ca="1" si="53"/>
        <v>1</v>
      </c>
    </row>
    <row r="625" spans="11:15" x14ac:dyDescent="0.25">
      <c r="K625" s="15" t="s">
        <v>1374</v>
      </c>
      <c r="L625" s="16">
        <v>148</v>
      </c>
      <c r="M625" s="28">
        <f t="shared" ca="1" si="51"/>
        <v>138</v>
      </c>
      <c r="N625" s="28">
        <f t="shared" ca="1" si="52"/>
        <v>158</v>
      </c>
      <c r="O625" s="42">
        <f t="shared" ca="1" si="53"/>
        <v>1</v>
      </c>
    </row>
    <row r="626" spans="11:15" x14ac:dyDescent="0.25">
      <c r="K626" s="15" t="s">
        <v>1375</v>
      </c>
      <c r="L626" s="16">
        <v>131</v>
      </c>
      <c r="M626" s="28">
        <f t="shared" ca="1" si="51"/>
        <v>138</v>
      </c>
      <c r="N626" s="28">
        <f t="shared" ca="1" si="52"/>
        <v>158</v>
      </c>
      <c r="O626" s="42">
        <f t="shared" ca="1" si="53"/>
        <v>0</v>
      </c>
    </row>
    <row r="627" spans="11:15" x14ac:dyDescent="0.25">
      <c r="K627" s="15" t="s">
        <v>1376</v>
      </c>
      <c r="L627" s="16">
        <v>138</v>
      </c>
      <c r="M627" s="28">
        <f t="shared" ca="1" si="51"/>
        <v>138</v>
      </c>
      <c r="N627" s="28">
        <f t="shared" ca="1" si="52"/>
        <v>158</v>
      </c>
      <c r="O627" s="42">
        <f t="shared" ca="1" si="53"/>
        <v>1</v>
      </c>
    </row>
    <row r="628" spans="11:15" x14ac:dyDescent="0.25">
      <c r="K628" s="15" t="s">
        <v>1377</v>
      </c>
      <c r="L628" s="16">
        <v>147</v>
      </c>
      <c r="M628" s="28">
        <f t="shared" ca="1" si="51"/>
        <v>138</v>
      </c>
      <c r="N628" s="28">
        <f t="shared" ca="1" si="52"/>
        <v>158</v>
      </c>
      <c r="O628" s="42">
        <f t="shared" ca="1" si="53"/>
        <v>1</v>
      </c>
    </row>
    <row r="629" spans="11:15" x14ac:dyDescent="0.25">
      <c r="K629" s="15" t="s">
        <v>1378</v>
      </c>
      <c r="L629" s="16">
        <v>152</v>
      </c>
      <c r="M629" s="28">
        <f t="shared" ca="1" si="51"/>
        <v>138</v>
      </c>
      <c r="N629" s="28">
        <f t="shared" ca="1" si="52"/>
        <v>158</v>
      </c>
      <c r="O629" s="42">
        <f t="shared" ca="1" si="53"/>
        <v>1</v>
      </c>
    </row>
    <row r="630" spans="11:15" x14ac:dyDescent="0.25">
      <c r="K630" s="15" t="s">
        <v>1379</v>
      </c>
      <c r="L630" s="16">
        <v>151</v>
      </c>
      <c r="M630" s="28">
        <f t="shared" ca="1" si="51"/>
        <v>138</v>
      </c>
      <c r="N630" s="28">
        <f t="shared" ca="1" si="52"/>
        <v>158</v>
      </c>
      <c r="O630" s="42">
        <f t="shared" ca="1" si="53"/>
        <v>1</v>
      </c>
    </row>
    <row r="631" spans="11:15" x14ac:dyDescent="0.25">
      <c r="K631" s="15" t="s">
        <v>1380</v>
      </c>
      <c r="L631" s="16">
        <v>159</v>
      </c>
      <c r="M631" s="28">
        <f t="shared" ca="1" si="51"/>
        <v>138</v>
      </c>
      <c r="N631" s="28">
        <f t="shared" ca="1" si="52"/>
        <v>158</v>
      </c>
      <c r="O631" s="42">
        <f t="shared" ca="1" si="53"/>
        <v>0</v>
      </c>
    </row>
    <row r="632" spans="11:15" x14ac:dyDescent="0.25">
      <c r="K632" s="15" t="s">
        <v>1381</v>
      </c>
      <c r="L632" s="16">
        <v>150</v>
      </c>
      <c r="M632" s="28">
        <f t="shared" ca="1" si="51"/>
        <v>138</v>
      </c>
      <c r="N632" s="28">
        <f t="shared" ca="1" si="52"/>
        <v>158</v>
      </c>
      <c r="O632" s="42">
        <f t="shared" ca="1" si="53"/>
        <v>1</v>
      </c>
    </row>
    <row r="633" spans="11:15" x14ac:dyDescent="0.25">
      <c r="K633" s="15" t="s">
        <v>1382</v>
      </c>
      <c r="L633" s="16">
        <v>150</v>
      </c>
      <c r="M633" s="28">
        <f t="shared" ca="1" si="51"/>
        <v>138</v>
      </c>
      <c r="N633" s="28">
        <f t="shared" ca="1" si="52"/>
        <v>158</v>
      </c>
      <c r="O633" s="42">
        <f t="shared" ca="1" si="53"/>
        <v>1</v>
      </c>
    </row>
    <row r="634" spans="11:15" x14ac:dyDescent="0.25">
      <c r="K634" s="15" t="s">
        <v>1383</v>
      </c>
      <c r="L634" s="16">
        <v>146</v>
      </c>
      <c r="M634" s="28">
        <f t="shared" ca="1" si="51"/>
        <v>138</v>
      </c>
      <c r="N634" s="28">
        <f t="shared" ca="1" si="52"/>
        <v>158</v>
      </c>
      <c r="O634" s="42">
        <f t="shared" ca="1" si="53"/>
        <v>1</v>
      </c>
    </row>
    <row r="635" spans="11:15" x14ac:dyDescent="0.25">
      <c r="K635" s="15" t="s">
        <v>1384</v>
      </c>
      <c r="L635" s="16">
        <v>149</v>
      </c>
      <c r="M635" s="28">
        <f t="shared" ca="1" si="51"/>
        <v>138</v>
      </c>
      <c r="N635" s="28">
        <f t="shared" ca="1" si="52"/>
        <v>158</v>
      </c>
      <c r="O635" s="42">
        <f t="shared" ca="1" si="53"/>
        <v>1</v>
      </c>
    </row>
    <row r="636" spans="11:15" x14ac:dyDescent="0.25">
      <c r="K636" s="15" t="s">
        <v>1385</v>
      </c>
      <c r="L636" s="16">
        <v>164</v>
      </c>
      <c r="M636" s="28">
        <f t="shared" ca="1" si="51"/>
        <v>138</v>
      </c>
      <c r="N636" s="28">
        <f t="shared" ca="1" si="52"/>
        <v>158</v>
      </c>
      <c r="O636" s="42">
        <f t="shared" ca="1" si="53"/>
        <v>0</v>
      </c>
    </row>
    <row r="637" spans="11:15" x14ac:dyDescent="0.25">
      <c r="K637" s="15" t="s">
        <v>1386</v>
      </c>
      <c r="L637" s="16">
        <v>141</v>
      </c>
      <c r="M637" s="28">
        <f t="shared" ca="1" si="51"/>
        <v>138</v>
      </c>
      <c r="N637" s="28">
        <f t="shared" ca="1" si="52"/>
        <v>158</v>
      </c>
      <c r="O637" s="42">
        <f t="shared" ca="1" si="53"/>
        <v>1</v>
      </c>
    </row>
    <row r="638" spans="11:15" x14ac:dyDescent="0.25">
      <c r="K638" s="15" t="s">
        <v>1387</v>
      </c>
      <c r="L638" s="16">
        <v>142</v>
      </c>
      <c r="M638" s="28">
        <f t="shared" ca="1" si="51"/>
        <v>138</v>
      </c>
      <c r="N638" s="28">
        <f t="shared" ca="1" si="52"/>
        <v>158</v>
      </c>
      <c r="O638" s="42">
        <f t="shared" ca="1" si="53"/>
        <v>1</v>
      </c>
    </row>
    <row r="639" spans="11:15" x14ac:dyDescent="0.25">
      <c r="K639" s="15" t="s">
        <v>1388</v>
      </c>
      <c r="L639" s="16">
        <v>163</v>
      </c>
      <c r="M639" s="28">
        <f t="shared" ca="1" si="51"/>
        <v>138</v>
      </c>
      <c r="N639" s="28">
        <f t="shared" ca="1" si="52"/>
        <v>158</v>
      </c>
      <c r="O639" s="42">
        <f t="shared" ca="1" si="53"/>
        <v>0</v>
      </c>
    </row>
    <row r="640" spans="11:15" x14ac:dyDescent="0.25">
      <c r="K640" s="15" t="s">
        <v>1389</v>
      </c>
      <c r="L640" s="16">
        <v>149</v>
      </c>
      <c r="M640" s="28">
        <f t="shared" ca="1" si="51"/>
        <v>138</v>
      </c>
      <c r="N640" s="28">
        <f t="shared" ca="1" si="52"/>
        <v>158</v>
      </c>
      <c r="O640" s="42">
        <f t="shared" ca="1" si="53"/>
        <v>1</v>
      </c>
    </row>
    <row r="641" spans="11:15" x14ac:dyDescent="0.25">
      <c r="K641" s="15" t="s">
        <v>1390</v>
      </c>
      <c r="L641" s="16">
        <v>162</v>
      </c>
      <c r="M641" s="28">
        <f t="shared" ca="1" si="51"/>
        <v>138</v>
      </c>
      <c r="N641" s="28">
        <f t="shared" ca="1" si="52"/>
        <v>158</v>
      </c>
      <c r="O641" s="42">
        <f t="shared" ca="1" si="53"/>
        <v>0</v>
      </c>
    </row>
    <row r="642" spans="11:15" x14ac:dyDescent="0.25">
      <c r="K642" s="15" t="s">
        <v>1391</v>
      </c>
      <c r="L642" s="16">
        <v>139</v>
      </c>
      <c r="M642" s="28">
        <f t="shared" ca="1" si="51"/>
        <v>138</v>
      </c>
      <c r="N642" s="28">
        <f t="shared" ca="1" si="52"/>
        <v>158</v>
      </c>
      <c r="O642" s="42">
        <f t="shared" ca="1" si="53"/>
        <v>1</v>
      </c>
    </row>
    <row r="643" spans="11:15" x14ac:dyDescent="0.25">
      <c r="K643" s="15" t="s">
        <v>1392</v>
      </c>
      <c r="L643" s="16">
        <v>137</v>
      </c>
      <c r="M643" s="28">
        <f t="shared" ca="1" si="51"/>
        <v>138</v>
      </c>
      <c r="N643" s="28">
        <f t="shared" ca="1" si="52"/>
        <v>158</v>
      </c>
      <c r="O643" s="42">
        <f t="shared" ca="1" si="53"/>
        <v>0</v>
      </c>
    </row>
    <row r="644" spans="11:15" x14ac:dyDescent="0.25">
      <c r="K644" s="15" t="s">
        <v>1393</v>
      </c>
      <c r="L644" s="16">
        <v>144</v>
      </c>
      <c r="M644" s="28">
        <f t="shared" ca="1" si="51"/>
        <v>138</v>
      </c>
      <c r="N644" s="28">
        <f t="shared" ca="1" si="52"/>
        <v>158</v>
      </c>
      <c r="O644" s="42">
        <f t="shared" ca="1" si="53"/>
        <v>1</v>
      </c>
    </row>
    <row r="645" spans="11:15" x14ac:dyDescent="0.25">
      <c r="K645" s="15" t="s">
        <v>1394</v>
      </c>
      <c r="L645" s="16">
        <v>149</v>
      </c>
      <c r="M645" s="28">
        <f t="shared" ca="1" si="51"/>
        <v>138</v>
      </c>
      <c r="N645" s="28">
        <f t="shared" ca="1" si="52"/>
        <v>158</v>
      </c>
      <c r="O645" s="42">
        <f t="shared" ca="1" si="53"/>
        <v>1</v>
      </c>
    </row>
    <row r="646" spans="11:15" x14ac:dyDescent="0.25">
      <c r="K646" s="15" t="s">
        <v>1395</v>
      </c>
      <c r="L646" s="16">
        <v>140</v>
      </c>
      <c r="M646" s="28">
        <f t="shared" ca="1" si="51"/>
        <v>138</v>
      </c>
      <c r="N646" s="28">
        <f t="shared" ca="1" si="52"/>
        <v>158</v>
      </c>
      <c r="O646" s="42">
        <f t="shared" ca="1" si="53"/>
        <v>1</v>
      </c>
    </row>
    <row r="647" spans="11:15" x14ac:dyDescent="0.25">
      <c r="K647" s="15" t="s">
        <v>1396</v>
      </c>
      <c r="L647" s="16">
        <v>135</v>
      </c>
      <c r="M647" s="28">
        <f t="shared" ca="1" si="51"/>
        <v>138</v>
      </c>
      <c r="N647" s="28">
        <f t="shared" ca="1" si="52"/>
        <v>158</v>
      </c>
      <c r="O647" s="42">
        <f t="shared" ca="1" si="53"/>
        <v>0</v>
      </c>
    </row>
    <row r="648" spans="11:15" x14ac:dyDescent="0.25">
      <c r="K648" s="15" t="s">
        <v>1397</v>
      </c>
      <c r="L648" s="16">
        <v>164</v>
      </c>
      <c r="M648" s="28">
        <f t="shared" ca="1" si="51"/>
        <v>138</v>
      </c>
      <c r="N648" s="28">
        <f t="shared" ca="1" si="52"/>
        <v>158</v>
      </c>
      <c r="O648" s="42">
        <f t="shared" ca="1" si="53"/>
        <v>0</v>
      </c>
    </row>
    <row r="649" spans="11:15" x14ac:dyDescent="0.25">
      <c r="K649" s="15" t="s">
        <v>1398</v>
      </c>
      <c r="L649" s="16">
        <v>138</v>
      </c>
      <c r="M649" s="28">
        <f t="shared" ca="1" si="51"/>
        <v>138</v>
      </c>
      <c r="N649" s="28">
        <f t="shared" ca="1" si="52"/>
        <v>158</v>
      </c>
      <c r="O649" s="42">
        <f t="shared" ca="1" si="53"/>
        <v>1</v>
      </c>
    </row>
    <row r="650" spans="11:15" x14ac:dyDescent="0.25">
      <c r="K650" s="15" t="s">
        <v>1399</v>
      </c>
      <c r="L650" s="16">
        <v>152</v>
      </c>
      <c r="M650" s="28">
        <f t="shared" ca="1" si="51"/>
        <v>138</v>
      </c>
      <c r="N650" s="28">
        <f t="shared" ca="1" si="52"/>
        <v>158</v>
      </c>
      <c r="O650" s="42">
        <f t="shared" ca="1" si="53"/>
        <v>1</v>
      </c>
    </row>
    <row r="651" spans="11:15" x14ac:dyDescent="0.25">
      <c r="K651" s="15" t="s">
        <v>1400</v>
      </c>
      <c r="L651" s="16">
        <v>145</v>
      </c>
      <c r="M651" s="28">
        <f t="shared" ref="M651:M714" ca="1" si="54">$I$14-epsilon</f>
        <v>138</v>
      </c>
      <c r="N651" s="28">
        <f t="shared" ref="N651:N714" ca="1" si="55">$I$14+epsilon</f>
        <v>158</v>
      </c>
      <c r="O651" s="42">
        <f t="shared" ca="1" si="53"/>
        <v>1</v>
      </c>
    </row>
    <row r="652" spans="11:15" x14ac:dyDescent="0.25">
      <c r="K652" s="15" t="s">
        <v>1401</v>
      </c>
      <c r="L652" s="16">
        <v>160</v>
      </c>
      <c r="M652" s="28">
        <f t="shared" ca="1" si="54"/>
        <v>138</v>
      </c>
      <c r="N652" s="28">
        <f t="shared" ca="1" si="55"/>
        <v>158</v>
      </c>
      <c r="O652" s="42">
        <f t="shared" ca="1" si="53"/>
        <v>0</v>
      </c>
    </row>
    <row r="653" spans="11:15" x14ac:dyDescent="0.25">
      <c r="K653" s="15" t="s">
        <v>1402</v>
      </c>
      <c r="L653" s="16">
        <v>143</v>
      </c>
      <c r="M653" s="28">
        <f t="shared" ca="1" si="54"/>
        <v>138</v>
      </c>
      <c r="N653" s="28">
        <f t="shared" ca="1" si="55"/>
        <v>158</v>
      </c>
      <c r="O653" s="42">
        <f t="shared" ref="O653:O716" ca="1" si="56">IF(AND(L653&gt;=M653,L653&lt;=N653),1,0)</f>
        <v>1</v>
      </c>
    </row>
    <row r="654" spans="11:15" x14ac:dyDescent="0.25">
      <c r="K654" s="15" t="s">
        <v>1403</v>
      </c>
      <c r="L654" s="16">
        <v>149</v>
      </c>
      <c r="M654" s="28">
        <f t="shared" ca="1" si="54"/>
        <v>138</v>
      </c>
      <c r="N654" s="28">
        <f t="shared" ca="1" si="55"/>
        <v>158</v>
      </c>
      <c r="O654" s="42">
        <f t="shared" ca="1" si="56"/>
        <v>1</v>
      </c>
    </row>
    <row r="655" spans="11:15" x14ac:dyDescent="0.25">
      <c r="K655" s="15" t="s">
        <v>1404</v>
      </c>
      <c r="L655" s="16">
        <v>153</v>
      </c>
      <c r="M655" s="28">
        <f t="shared" ca="1" si="54"/>
        <v>138</v>
      </c>
      <c r="N655" s="28">
        <f t="shared" ca="1" si="55"/>
        <v>158</v>
      </c>
      <c r="O655" s="42">
        <f t="shared" ca="1" si="56"/>
        <v>1</v>
      </c>
    </row>
    <row r="656" spans="11:15" x14ac:dyDescent="0.25">
      <c r="K656" s="15" t="s">
        <v>1405</v>
      </c>
      <c r="L656" s="16">
        <v>150</v>
      </c>
      <c r="M656" s="28">
        <f t="shared" ca="1" si="54"/>
        <v>138</v>
      </c>
      <c r="N656" s="28">
        <f t="shared" ca="1" si="55"/>
        <v>158</v>
      </c>
      <c r="O656" s="42">
        <f t="shared" ca="1" si="56"/>
        <v>1</v>
      </c>
    </row>
    <row r="657" spans="11:15" x14ac:dyDescent="0.25">
      <c r="K657" s="15" t="s">
        <v>1406</v>
      </c>
      <c r="L657" s="16">
        <v>150</v>
      </c>
      <c r="M657" s="28">
        <f t="shared" ca="1" si="54"/>
        <v>138</v>
      </c>
      <c r="N657" s="28">
        <f t="shared" ca="1" si="55"/>
        <v>158</v>
      </c>
      <c r="O657" s="42">
        <f t="shared" ca="1" si="56"/>
        <v>1</v>
      </c>
    </row>
    <row r="658" spans="11:15" x14ac:dyDescent="0.25">
      <c r="K658" s="15" t="s">
        <v>1407</v>
      </c>
      <c r="L658" s="16">
        <v>152</v>
      </c>
      <c r="M658" s="28">
        <f t="shared" ca="1" si="54"/>
        <v>138</v>
      </c>
      <c r="N658" s="28">
        <f t="shared" ca="1" si="55"/>
        <v>158</v>
      </c>
      <c r="O658" s="42">
        <f t="shared" ca="1" si="56"/>
        <v>1</v>
      </c>
    </row>
    <row r="659" spans="11:15" x14ac:dyDescent="0.25">
      <c r="K659" s="15" t="s">
        <v>1408</v>
      </c>
      <c r="L659" s="16">
        <v>153</v>
      </c>
      <c r="M659" s="28">
        <f t="shared" ca="1" si="54"/>
        <v>138</v>
      </c>
      <c r="N659" s="28">
        <f t="shared" ca="1" si="55"/>
        <v>158</v>
      </c>
      <c r="O659" s="42">
        <f t="shared" ca="1" si="56"/>
        <v>1</v>
      </c>
    </row>
    <row r="660" spans="11:15" x14ac:dyDescent="0.25">
      <c r="K660" s="15" t="s">
        <v>1409</v>
      </c>
      <c r="L660" s="16">
        <v>146</v>
      </c>
      <c r="M660" s="28">
        <f t="shared" ca="1" si="54"/>
        <v>138</v>
      </c>
      <c r="N660" s="28">
        <f t="shared" ca="1" si="55"/>
        <v>158</v>
      </c>
      <c r="O660" s="42">
        <f t="shared" ca="1" si="56"/>
        <v>1</v>
      </c>
    </row>
    <row r="661" spans="11:15" x14ac:dyDescent="0.25">
      <c r="K661" s="15" t="s">
        <v>1410</v>
      </c>
      <c r="L661" s="16">
        <v>149</v>
      </c>
      <c r="M661" s="28">
        <f t="shared" ca="1" si="54"/>
        <v>138</v>
      </c>
      <c r="N661" s="28">
        <f t="shared" ca="1" si="55"/>
        <v>158</v>
      </c>
      <c r="O661" s="42">
        <f t="shared" ca="1" si="56"/>
        <v>1</v>
      </c>
    </row>
    <row r="662" spans="11:15" x14ac:dyDescent="0.25">
      <c r="K662" s="15" t="s">
        <v>1411</v>
      </c>
      <c r="L662" s="16">
        <v>141</v>
      </c>
      <c r="M662" s="28">
        <f t="shared" ca="1" si="54"/>
        <v>138</v>
      </c>
      <c r="N662" s="28">
        <f t="shared" ca="1" si="55"/>
        <v>158</v>
      </c>
      <c r="O662" s="42">
        <f t="shared" ca="1" si="56"/>
        <v>1</v>
      </c>
    </row>
    <row r="663" spans="11:15" x14ac:dyDescent="0.25">
      <c r="K663" s="15" t="s">
        <v>1412</v>
      </c>
      <c r="L663" s="16">
        <v>158</v>
      </c>
      <c r="M663" s="28">
        <f t="shared" ca="1" si="54"/>
        <v>138</v>
      </c>
      <c r="N663" s="28">
        <f t="shared" ca="1" si="55"/>
        <v>158</v>
      </c>
      <c r="O663" s="42">
        <f t="shared" ca="1" si="56"/>
        <v>1</v>
      </c>
    </row>
    <row r="664" spans="11:15" x14ac:dyDescent="0.25">
      <c r="K664" s="15" t="s">
        <v>1413</v>
      </c>
      <c r="L664" s="16">
        <v>160</v>
      </c>
      <c r="M664" s="28">
        <f t="shared" ca="1" si="54"/>
        <v>138</v>
      </c>
      <c r="N664" s="28">
        <f t="shared" ca="1" si="55"/>
        <v>158</v>
      </c>
      <c r="O664" s="42">
        <f t="shared" ca="1" si="56"/>
        <v>0</v>
      </c>
    </row>
    <row r="665" spans="11:15" x14ac:dyDescent="0.25">
      <c r="K665" s="15" t="s">
        <v>1414</v>
      </c>
      <c r="L665" s="16">
        <v>140</v>
      </c>
      <c r="M665" s="28">
        <f t="shared" ca="1" si="54"/>
        <v>138</v>
      </c>
      <c r="N665" s="28">
        <f t="shared" ca="1" si="55"/>
        <v>158</v>
      </c>
      <c r="O665" s="42">
        <f t="shared" ca="1" si="56"/>
        <v>1</v>
      </c>
    </row>
    <row r="666" spans="11:15" x14ac:dyDescent="0.25">
      <c r="K666" s="15" t="s">
        <v>1415</v>
      </c>
      <c r="L666" s="16">
        <v>146</v>
      </c>
      <c r="M666" s="28">
        <f t="shared" ca="1" si="54"/>
        <v>138</v>
      </c>
      <c r="N666" s="28">
        <f t="shared" ca="1" si="55"/>
        <v>158</v>
      </c>
      <c r="O666" s="42">
        <f t="shared" ca="1" si="56"/>
        <v>1</v>
      </c>
    </row>
    <row r="667" spans="11:15" x14ac:dyDescent="0.25">
      <c r="K667" s="15" t="s">
        <v>1416</v>
      </c>
      <c r="L667" s="16">
        <v>146</v>
      </c>
      <c r="M667" s="28">
        <f t="shared" ca="1" si="54"/>
        <v>138</v>
      </c>
      <c r="N667" s="28">
        <f t="shared" ca="1" si="55"/>
        <v>158</v>
      </c>
      <c r="O667" s="42">
        <f t="shared" ca="1" si="56"/>
        <v>1</v>
      </c>
    </row>
    <row r="668" spans="11:15" x14ac:dyDescent="0.25">
      <c r="K668" s="15" t="s">
        <v>1417</v>
      </c>
      <c r="L668" s="16">
        <v>157</v>
      </c>
      <c r="M668" s="28">
        <f t="shared" ca="1" si="54"/>
        <v>138</v>
      </c>
      <c r="N668" s="28">
        <f t="shared" ca="1" si="55"/>
        <v>158</v>
      </c>
      <c r="O668" s="42">
        <f t="shared" ca="1" si="56"/>
        <v>1</v>
      </c>
    </row>
    <row r="669" spans="11:15" x14ac:dyDescent="0.25">
      <c r="K669" s="15" t="s">
        <v>1418</v>
      </c>
      <c r="L669" s="16">
        <v>156</v>
      </c>
      <c r="M669" s="28">
        <f t="shared" ca="1" si="54"/>
        <v>138</v>
      </c>
      <c r="N669" s="28">
        <f t="shared" ca="1" si="55"/>
        <v>158</v>
      </c>
      <c r="O669" s="42">
        <f t="shared" ca="1" si="56"/>
        <v>1</v>
      </c>
    </row>
    <row r="670" spans="11:15" x14ac:dyDescent="0.25">
      <c r="K670" s="15" t="s">
        <v>1419</v>
      </c>
      <c r="L670" s="16">
        <v>165</v>
      </c>
      <c r="M670" s="28">
        <f t="shared" ca="1" si="54"/>
        <v>138</v>
      </c>
      <c r="N670" s="28">
        <f t="shared" ca="1" si="55"/>
        <v>158</v>
      </c>
      <c r="O670" s="42">
        <f t="shared" ca="1" si="56"/>
        <v>0</v>
      </c>
    </row>
    <row r="671" spans="11:15" x14ac:dyDescent="0.25">
      <c r="K671" s="15" t="s">
        <v>1420</v>
      </c>
      <c r="L671" s="16">
        <v>136</v>
      </c>
      <c r="M671" s="28">
        <f t="shared" ca="1" si="54"/>
        <v>138</v>
      </c>
      <c r="N671" s="28">
        <f t="shared" ca="1" si="55"/>
        <v>158</v>
      </c>
      <c r="O671" s="42">
        <f t="shared" ca="1" si="56"/>
        <v>0</v>
      </c>
    </row>
    <row r="672" spans="11:15" x14ac:dyDescent="0.25">
      <c r="K672" s="15" t="s">
        <v>1421</v>
      </c>
      <c r="L672" s="16">
        <v>142</v>
      </c>
      <c r="M672" s="28">
        <f t="shared" ca="1" si="54"/>
        <v>138</v>
      </c>
      <c r="N672" s="28">
        <f t="shared" ca="1" si="55"/>
        <v>158</v>
      </c>
      <c r="O672" s="42">
        <f t="shared" ca="1" si="56"/>
        <v>1</v>
      </c>
    </row>
    <row r="673" spans="11:15" x14ac:dyDescent="0.25">
      <c r="K673" s="15" t="s">
        <v>1422</v>
      </c>
      <c r="L673" s="16">
        <v>148</v>
      </c>
      <c r="M673" s="28">
        <f t="shared" ca="1" si="54"/>
        <v>138</v>
      </c>
      <c r="N673" s="28">
        <f t="shared" ca="1" si="55"/>
        <v>158</v>
      </c>
      <c r="O673" s="42">
        <f t="shared" ca="1" si="56"/>
        <v>1</v>
      </c>
    </row>
    <row r="674" spans="11:15" x14ac:dyDescent="0.25">
      <c r="K674" s="15" t="s">
        <v>1423</v>
      </c>
      <c r="L674" s="16">
        <v>152</v>
      </c>
      <c r="M674" s="28">
        <f t="shared" ca="1" si="54"/>
        <v>138</v>
      </c>
      <c r="N674" s="28">
        <f t="shared" ca="1" si="55"/>
        <v>158</v>
      </c>
      <c r="O674" s="42">
        <f t="shared" ca="1" si="56"/>
        <v>1</v>
      </c>
    </row>
    <row r="675" spans="11:15" x14ac:dyDescent="0.25">
      <c r="K675" s="15" t="s">
        <v>1424</v>
      </c>
      <c r="L675" s="16">
        <v>140</v>
      </c>
      <c r="M675" s="28">
        <f t="shared" ca="1" si="54"/>
        <v>138</v>
      </c>
      <c r="N675" s="28">
        <f t="shared" ca="1" si="55"/>
        <v>158</v>
      </c>
      <c r="O675" s="42">
        <f t="shared" ca="1" si="56"/>
        <v>1</v>
      </c>
    </row>
    <row r="676" spans="11:15" x14ac:dyDescent="0.25">
      <c r="K676" s="15" t="s">
        <v>1425</v>
      </c>
      <c r="L676" s="16">
        <v>155</v>
      </c>
      <c r="M676" s="28">
        <f t="shared" ca="1" si="54"/>
        <v>138</v>
      </c>
      <c r="N676" s="28">
        <f t="shared" ca="1" si="55"/>
        <v>158</v>
      </c>
      <c r="O676" s="42">
        <f t="shared" ca="1" si="56"/>
        <v>1</v>
      </c>
    </row>
    <row r="677" spans="11:15" x14ac:dyDescent="0.25">
      <c r="K677" s="15" t="s">
        <v>1426</v>
      </c>
      <c r="L677" s="16">
        <v>146</v>
      </c>
      <c r="M677" s="28">
        <f t="shared" ca="1" si="54"/>
        <v>138</v>
      </c>
      <c r="N677" s="28">
        <f t="shared" ca="1" si="55"/>
        <v>158</v>
      </c>
      <c r="O677" s="42">
        <f t="shared" ca="1" si="56"/>
        <v>1</v>
      </c>
    </row>
    <row r="678" spans="11:15" x14ac:dyDescent="0.25">
      <c r="K678" s="15" t="s">
        <v>1427</v>
      </c>
      <c r="L678" s="16">
        <v>146</v>
      </c>
      <c r="M678" s="28">
        <f t="shared" ca="1" si="54"/>
        <v>138</v>
      </c>
      <c r="N678" s="28">
        <f t="shared" ca="1" si="55"/>
        <v>158</v>
      </c>
      <c r="O678" s="42">
        <f t="shared" ca="1" si="56"/>
        <v>1</v>
      </c>
    </row>
    <row r="679" spans="11:15" x14ac:dyDescent="0.25">
      <c r="K679" s="15" t="s">
        <v>1428</v>
      </c>
      <c r="L679" s="16">
        <v>145</v>
      </c>
      <c r="M679" s="28">
        <f t="shared" ca="1" si="54"/>
        <v>138</v>
      </c>
      <c r="N679" s="28">
        <f t="shared" ca="1" si="55"/>
        <v>158</v>
      </c>
      <c r="O679" s="42">
        <f t="shared" ca="1" si="56"/>
        <v>1</v>
      </c>
    </row>
    <row r="680" spans="11:15" x14ac:dyDescent="0.25">
      <c r="K680" s="15" t="s">
        <v>1429</v>
      </c>
      <c r="L680" s="16">
        <v>156</v>
      </c>
      <c r="M680" s="28">
        <f t="shared" ca="1" si="54"/>
        <v>138</v>
      </c>
      <c r="N680" s="28">
        <f t="shared" ca="1" si="55"/>
        <v>158</v>
      </c>
      <c r="O680" s="42">
        <f t="shared" ca="1" si="56"/>
        <v>1</v>
      </c>
    </row>
    <row r="681" spans="11:15" x14ac:dyDescent="0.25">
      <c r="K681" s="15" t="s">
        <v>1430</v>
      </c>
      <c r="L681" s="16">
        <v>158</v>
      </c>
      <c r="M681" s="28">
        <f t="shared" ca="1" si="54"/>
        <v>138</v>
      </c>
      <c r="N681" s="28">
        <f t="shared" ca="1" si="55"/>
        <v>158</v>
      </c>
      <c r="O681" s="42">
        <f t="shared" ca="1" si="56"/>
        <v>1</v>
      </c>
    </row>
    <row r="682" spans="11:15" x14ac:dyDescent="0.25">
      <c r="K682" s="15" t="s">
        <v>1431</v>
      </c>
      <c r="L682" s="16">
        <v>143</v>
      </c>
      <c r="M682" s="28">
        <f t="shared" ca="1" si="54"/>
        <v>138</v>
      </c>
      <c r="N682" s="28">
        <f t="shared" ca="1" si="55"/>
        <v>158</v>
      </c>
      <c r="O682" s="42">
        <f t="shared" ca="1" si="56"/>
        <v>1</v>
      </c>
    </row>
    <row r="683" spans="11:15" x14ac:dyDescent="0.25">
      <c r="K683" s="15" t="s">
        <v>1432</v>
      </c>
      <c r="L683" s="16">
        <v>149</v>
      </c>
      <c r="M683" s="28">
        <f t="shared" ca="1" si="54"/>
        <v>138</v>
      </c>
      <c r="N683" s="28">
        <f t="shared" ca="1" si="55"/>
        <v>158</v>
      </c>
      <c r="O683" s="42">
        <f t="shared" ca="1" si="56"/>
        <v>1</v>
      </c>
    </row>
    <row r="684" spans="11:15" x14ac:dyDescent="0.25">
      <c r="K684" s="15" t="s">
        <v>1433</v>
      </c>
      <c r="L684" s="16">
        <v>154</v>
      </c>
      <c r="M684" s="28">
        <f t="shared" ca="1" si="54"/>
        <v>138</v>
      </c>
      <c r="N684" s="28">
        <f t="shared" ca="1" si="55"/>
        <v>158</v>
      </c>
      <c r="O684" s="42">
        <f t="shared" ca="1" si="56"/>
        <v>1</v>
      </c>
    </row>
    <row r="685" spans="11:15" x14ac:dyDescent="0.25">
      <c r="K685" s="15" t="s">
        <v>1434</v>
      </c>
      <c r="L685" s="16">
        <v>141</v>
      </c>
      <c r="M685" s="28">
        <f t="shared" ca="1" si="54"/>
        <v>138</v>
      </c>
      <c r="N685" s="28">
        <f t="shared" ca="1" si="55"/>
        <v>158</v>
      </c>
      <c r="O685" s="42">
        <f t="shared" ca="1" si="56"/>
        <v>1</v>
      </c>
    </row>
    <row r="686" spans="11:15" x14ac:dyDescent="0.25">
      <c r="K686" s="15" t="s">
        <v>1435</v>
      </c>
      <c r="L686" s="16">
        <v>149</v>
      </c>
      <c r="M686" s="28">
        <f t="shared" ca="1" si="54"/>
        <v>138</v>
      </c>
      <c r="N686" s="28">
        <f t="shared" ca="1" si="55"/>
        <v>158</v>
      </c>
      <c r="O686" s="42">
        <f t="shared" ca="1" si="56"/>
        <v>1</v>
      </c>
    </row>
    <row r="687" spans="11:15" x14ac:dyDescent="0.25">
      <c r="K687" s="15" t="s">
        <v>1436</v>
      </c>
      <c r="L687" s="16">
        <v>165</v>
      </c>
      <c r="M687" s="28">
        <f t="shared" ca="1" si="54"/>
        <v>138</v>
      </c>
      <c r="N687" s="28">
        <f t="shared" ca="1" si="55"/>
        <v>158</v>
      </c>
      <c r="O687" s="42">
        <f t="shared" ca="1" si="56"/>
        <v>0</v>
      </c>
    </row>
    <row r="688" spans="11:15" x14ac:dyDescent="0.25">
      <c r="K688" s="15" t="s">
        <v>1437</v>
      </c>
      <c r="L688" s="16">
        <v>152</v>
      </c>
      <c r="M688" s="28">
        <f t="shared" ca="1" si="54"/>
        <v>138</v>
      </c>
      <c r="N688" s="28">
        <f t="shared" ca="1" si="55"/>
        <v>158</v>
      </c>
      <c r="O688" s="42">
        <f t="shared" ca="1" si="56"/>
        <v>1</v>
      </c>
    </row>
    <row r="689" spans="11:15" x14ac:dyDescent="0.25">
      <c r="K689" s="15" t="s">
        <v>1438</v>
      </c>
      <c r="L689" s="16">
        <v>145</v>
      </c>
      <c r="M689" s="28">
        <f t="shared" ca="1" si="54"/>
        <v>138</v>
      </c>
      <c r="N689" s="28">
        <f t="shared" ca="1" si="55"/>
        <v>158</v>
      </c>
      <c r="O689" s="42">
        <f t="shared" ca="1" si="56"/>
        <v>1</v>
      </c>
    </row>
    <row r="690" spans="11:15" x14ac:dyDescent="0.25">
      <c r="K690" s="15" t="s">
        <v>1439</v>
      </c>
      <c r="L690" s="16">
        <v>141</v>
      </c>
      <c r="M690" s="28">
        <f t="shared" ca="1" si="54"/>
        <v>138</v>
      </c>
      <c r="N690" s="28">
        <f t="shared" ca="1" si="55"/>
        <v>158</v>
      </c>
      <c r="O690" s="42">
        <f t="shared" ca="1" si="56"/>
        <v>1</v>
      </c>
    </row>
    <row r="691" spans="11:15" x14ac:dyDescent="0.25">
      <c r="K691" s="15" t="s">
        <v>1440</v>
      </c>
      <c r="L691" s="16">
        <v>137</v>
      </c>
      <c r="M691" s="28">
        <f t="shared" ca="1" si="54"/>
        <v>138</v>
      </c>
      <c r="N691" s="28">
        <f t="shared" ca="1" si="55"/>
        <v>158</v>
      </c>
      <c r="O691" s="42">
        <f t="shared" ca="1" si="56"/>
        <v>0</v>
      </c>
    </row>
    <row r="692" spans="11:15" x14ac:dyDescent="0.25">
      <c r="K692" s="15" t="s">
        <v>1441</v>
      </c>
      <c r="L692" s="16">
        <v>156</v>
      </c>
      <c r="M692" s="28">
        <f t="shared" ca="1" si="54"/>
        <v>138</v>
      </c>
      <c r="N692" s="28">
        <f t="shared" ca="1" si="55"/>
        <v>158</v>
      </c>
      <c r="O692" s="42">
        <f t="shared" ca="1" si="56"/>
        <v>1</v>
      </c>
    </row>
    <row r="693" spans="11:15" x14ac:dyDescent="0.25">
      <c r="K693" s="15" t="s">
        <v>1442</v>
      </c>
      <c r="L693" s="16">
        <v>135</v>
      </c>
      <c r="M693" s="28">
        <f t="shared" ca="1" si="54"/>
        <v>138</v>
      </c>
      <c r="N693" s="28">
        <f t="shared" ca="1" si="55"/>
        <v>158</v>
      </c>
      <c r="O693" s="42">
        <f t="shared" ca="1" si="56"/>
        <v>0</v>
      </c>
    </row>
    <row r="694" spans="11:15" x14ac:dyDescent="0.25">
      <c r="K694" s="15" t="s">
        <v>1443</v>
      </c>
      <c r="L694" s="16">
        <v>151</v>
      </c>
      <c r="M694" s="28">
        <f t="shared" ca="1" si="54"/>
        <v>138</v>
      </c>
      <c r="N694" s="28">
        <f t="shared" ca="1" si="55"/>
        <v>158</v>
      </c>
      <c r="O694" s="42">
        <f t="shared" ca="1" si="56"/>
        <v>1</v>
      </c>
    </row>
    <row r="695" spans="11:15" x14ac:dyDescent="0.25">
      <c r="K695" s="15" t="s">
        <v>1444</v>
      </c>
      <c r="L695" s="16">
        <v>138</v>
      </c>
      <c r="M695" s="28">
        <f t="shared" ca="1" si="54"/>
        <v>138</v>
      </c>
      <c r="N695" s="28">
        <f t="shared" ca="1" si="55"/>
        <v>158</v>
      </c>
      <c r="O695" s="42">
        <f t="shared" ca="1" si="56"/>
        <v>1</v>
      </c>
    </row>
    <row r="696" spans="11:15" x14ac:dyDescent="0.25">
      <c r="K696" s="15" t="s">
        <v>1445</v>
      </c>
      <c r="L696" s="16">
        <v>149</v>
      </c>
      <c r="M696" s="28">
        <f t="shared" ca="1" si="54"/>
        <v>138</v>
      </c>
      <c r="N696" s="28">
        <f t="shared" ca="1" si="55"/>
        <v>158</v>
      </c>
      <c r="O696" s="42">
        <f t="shared" ca="1" si="56"/>
        <v>1</v>
      </c>
    </row>
    <row r="697" spans="11:15" x14ac:dyDescent="0.25">
      <c r="K697" s="15" t="s">
        <v>1446</v>
      </c>
      <c r="L697" s="16">
        <v>138</v>
      </c>
      <c r="M697" s="28">
        <f t="shared" ca="1" si="54"/>
        <v>138</v>
      </c>
      <c r="N697" s="28">
        <f t="shared" ca="1" si="55"/>
        <v>158</v>
      </c>
      <c r="O697" s="42">
        <f t="shared" ca="1" si="56"/>
        <v>1</v>
      </c>
    </row>
    <row r="698" spans="11:15" x14ac:dyDescent="0.25">
      <c r="K698" s="15" t="s">
        <v>1447</v>
      </c>
      <c r="L698" s="16">
        <v>148</v>
      </c>
      <c r="M698" s="28">
        <f t="shared" ca="1" si="54"/>
        <v>138</v>
      </c>
      <c r="N698" s="28">
        <f t="shared" ca="1" si="55"/>
        <v>158</v>
      </c>
      <c r="O698" s="42">
        <f t="shared" ca="1" si="56"/>
        <v>1</v>
      </c>
    </row>
    <row r="699" spans="11:15" x14ac:dyDescent="0.25">
      <c r="K699" s="15" t="s">
        <v>1448</v>
      </c>
      <c r="L699" s="16">
        <v>147</v>
      </c>
      <c r="M699" s="28">
        <f t="shared" ca="1" si="54"/>
        <v>138</v>
      </c>
      <c r="N699" s="28">
        <f t="shared" ca="1" si="55"/>
        <v>158</v>
      </c>
      <c r="O699" s="42">
        <f t="shared" ca="1" si="56"/>
        <v>1</v>
      </c>
    </row>
    <row r="700" spans="11:15" x14ac:dyDescent="0.25">
      <c r="K700" s="15" t="s">
        <v>1449</v>
      </c>
      <c r="L700" s="16">
        <v>137</v>
      </c>
      <c r="M700" s="28">
        <f t="shared" ca="1" si="54"/>
        <v>138</v>
      </c>
      <c r="N700" s="28">
        <f t="shared" ca="1" si="55"/>
        <v>158</v>
      </c>
      <c r="O700" s="42">
        <f t="shared" ca="1" si="56"/>
        <v>0</v>
      </c>
    </row>
    <row r="701" spans="11:15" x14ac:dyDescent="0.25">
      <c r="K701" s="15" t="s">
        <v>1450</v>
      </c>
      <c r="L701" s="16">
        <v>150</v>
      </c>
      <c r="M701" s="28">
        <f t="shared" ca="1" si="54"/>
        <v>138</v>
      </c>
      <c r="N701" s="28">
        <f t="shared" ca="1" si="55"/>
        <v>158</v>
      </c>
      <c r="O701" s="42">
        <f t="shared" ca="1" si="56"/>
        <v>1</v>
      </c>
    </row>
    <row r="702" spans="11:15" x14ac:dyDescent="0.25">
      <c r="K702" s="15" t="s">
        <v>1451</v>
      </c>
      <c r="L702" s="16">
        <v>130</v>
      </c>
      <c r="M702" s="28">
        <f t="shared" ca="1" si="54"/>
        <v>138</v>
      </c>
      <c r="N702" s="28">
        <f t="shared" ca="1" si="55"/>
        <v>158</v>
      </c>
      <c r="O702" s="42">
        <f t="shared" ca="1" si="56"/>
        <v>0</v>
      </c>
    </row>
    <row r="703" spans="11:15" x14ac:dyDescent="0.25">
      <c r="K703" s="15" t="s">
        <v>1452</v>
      </c>
      <c r="L703" s="16">
        <v>148</v>
      </c>
      <c r="M703" s="28">
        <f t="shared" ca="1" si="54"/>
        <v>138</v>
      </c>
      <c r="N703" s="28">
        <f t="shared" ca="1" si="55"/>
        <v>158</v>
      </c>
      <c r="O703" s="42">
        <f t="shared" ca="1" si="56"/>
        <v>1</v>
      </c>
    </row>
    <row r="704" spans="11:15" x14ac:dyDescent="0.25">
      <c r="K704" s="15" t="s">
        <v>1453</v>
      </c>
      <c r="L704" s="16">
        <v>156</v>
      </c>
      <c r="M704" s="28">
        <f t="shared" ca="1" si="54"/>
        <v>138</v>
      </c>
      <c r="N704" s="28">
        <f t="shared" ca="1" si="55"/>
        <v>158</v>
      </c>
      <c r="O704" s="42">
        <f t="shared" ca="1" si="56"/>
        <v>1</v>
      </c>
    </row>
    <row r="705" spans="11:15" x14ac:dyDescent="0.25">
      <c r="K705" s="15" t="s">
        <v>1454</v>
      </c>
      <c r="L705" s="16">
        <v>152</v>
      </c>
      <c r="M705" s="28">
        <f t="shared" ca="1" si="54"/>
        <v>138</v>
      </c>
      <c r="N705" s="28">
        <f t="shared" ca="1" si="55"/>
        <v>158</v>
      </c>
      <c r="O705" s="42">
        <f t="shared" ca="1" si="56"/>
        <v>1</v>
      </c>
    </row>
    <row r="706" spans="11:15" x14ac:dyDescent="0.25">
      <c r="K706" s="15" t="s">
        <v>1455</v>
      </c>
      <c r="L706" s="16">
        <v>160</v>
      </c>
      <c r="M706" s="28">
        <f t="shared" ca="1" si="54"/>
        <v>138</v>
      </c>
      <c r="N706" s="28">
        <f t="shared" ca="1" si="55"/>
        <v>158</v>
      </c>
      <c r="O706" s="42">
        <f t="shared" ca="1" si="56"/>
        <v>0</v>
      </c>
    </row>
    <row r="707" spans="11:15" x14ac:dyDescent="0.25">
      <c r="K707" s="15" t="s">
        <v>1456</v>
      </c>
      <c r="L707" s="16">
        <v>143</v>
      </c>
      <c r="M707" s="28">
        <f t="shared" ca="1" si="54"/>
        <v>138</v>
      </c>
      <c r="N707" s="28">
        <f t="shared" ca="1" si="55"/>
        <v>158</v>
      </c>
      <c r="O707" s="42">
        <f t="shared" ca="1" si="56"/>
        <v>1</v>
      </c>
    </row>
    <row r="708" spans="11:15" x14ac:dyDescent="0.25">
      <c r="K708" s="15" t="s">
        <v>1457</v>
      </c>
      <c r="L708" s="16">
        <v>145</v>
      </c>
      <c r="M708" s="28">
        <f t="shared" ca="1" si="54"/>
        <v>138</v>
      </c>
      <c r="N708" s="28">
        <f t="shared" ca="1" si="55"/>
        <v>158</v>
      </c>
      <c r="O708" s="42">
        <f t="shared" ca="1" si="56"/>
        <v>1</v>
      </c>
    </row>
    <row r="709" spans="11:15" x14ac:dyDescent="0.25">
      <c r="K709" s="15" t="s">
        <v>1458</v>
      </c>
      <c r="L709" s="16">
        <v>142</v>
      </c>
      <c r="M709" s="28">
        <f t="shared" ca="1" si="54"/>
        <v>138</v>
      </c>
      <c r="N709" s="28">
        <f t="shared" ca="1" si="55"/>
        <v>158</v>
      </c>
      <c r="O709" s="42">
        <f t="shared" ca="1" si="56"/>
        <v>1</v>
      </c>
    </row>
    <row r="710" spans="11:15" x14ac:dyDescent="0.25">
      <c r="K710" s="15" t="s">
        <v>1459</v>
      </c>
      <c r="L710" s="16">
        <v>141</v>
      </c>
      <c r="M710" s="28">
        <f t="shared" ca="1" si="54"/>
        <v>138</v>
      </c>
      <c r="N710" s="28">
        <f t="shared" ca="1" si="55"/>
        <v>158</v>
      </c>
      <c r="O710" s="42">
        <f t="shared" ca="1" si="56"/>
        <v>1</v>
      </c>
    </row>
    <row r="711" spans="11:15" x14ac:dyDescent="0.25">
      <c r="K711" s="15" t="s">
        <v>1460</v>
      </c>
      <c r="L711" s="16">
        <v>145</v>
      </c>
      <c r="M711" s="28">
        <f t="shared" ca="1" si="54"/>
        <v>138</v>
      </c>
      <c r="N711" s="28">
        <f t="shared" ca="1" si="55"/>
        <v>158</v>
      </c>
      <c r="O711" s="42">
        <f t="shared" ca="1" si="56"/>
        <v>1</v>
      </c>
    </row>
    <row r="712" spans="11:15" x14ac:dyDescent="0.25">
      <c r="K712" s="15" t="s">
        <v>1461</v>
      </c>
      <c r="L712" s="16">
        <v>157</v>
      </c>
      <c r="M712" s="28">
        <f t="shared" ca="1" si="54"/>
        <v>138</v>
      </c>
      <c r="N712" s="28">
        <f t="shared" ca="1" si="55"/>
        <v>158</v>
      </c>
      <c r="O712" s="42">
        <f t="shared" ca="1" si="56"/>
        <v>1</v>
      </c>
    </row>
    <row r="713" spans="11:15" x14ac:dyDescent="0.25">
      <c r="K713" s="15" t="s">
        <v>1462</v>
      </c>
      <c r="L713" s="16">
        <v>143</v>
      </c>
      <c r="M713" s="28">
        <f t="shared" ca="1" si="54"/>
        <v>138</v>
      </c>
      <c r="N713" s="28">
        <f t="shared" ca="1" si="55"/>
        <v>158</v>
      </c>
      <c r="O713" s="42">
        <f t="shared" ca="1" si="56"/>
        <v>1</v>
      </c>
    </row>
    <row r="714" spans="11:15" x14ac:dyDescent="0.25">
      <c r="K714" s="15" t="s">
        <v>1463</v>
      </c>
      <c r="L714" s="16">
        <v>140</v>
      </c>
      <c r="M714" s="28">
        <f t="shared" ca="1" si="54"/>
        <v>138</v>
      </c>
      <c r="N714" s="28">
        <f t="shared" ca="1" si="55"/>
        <v>158</v>
      </c>
      <c r="O714" s="42">
        <f t="shared" ca="1" si="56"/>
        <v>1</v>
      </c>
    </row>
    <row r="715" spans="11:15" x14ac:dyDescent="0.25">
      <c r="K715" s="15" t="s">
        <v>1464</v>
      </c>
      <c r="L715" s="16">
        <v>149</v>
      </c>
      <c r="M715" s="28">
        <f t="shared" ref="M715:M778" ca="1" si="57">$I$14-epsilon</f>
        <v>138</v>
      </c>
      <c r="N715" s="28">
        <f t="shared" ref="N715:N778" ca="1" si="58">$I$14+epsilon</f>
        <v>158</v>
      </c>
      <c r="O715" s="42">
        <f t="shared" ca="1" si="56"/>
        <v>1</v>
      </c>
    </row>
    <row r="716" spans="11:15" x14ac:dyDescent="0.25">
      <c r="K716" s="15" t="s">
        <v>1465</v>
      </c>
      <c r="L716" s="16">
        <v>162</v>
      </c>
      <c r="M716" s="28">
        <f t="shared" ca="1" si="57"/>
        <v>138</v>
      </c>
      <c r="N716" s="28">
        <f t="shared" ca="1" si="58"/>
        <v>158</v>
      </c>
      <c r="O716" s="42">
        <f t="shared" ca="1" si="56"/>
        <v>0</v>
      </c>
    </row>
    <row r="717" spans="11:15" x14ac:dyDescent="0.25">
      <c r="K717" s="15" t="s">
        <v>1466</v>
      </c>
      <c r="L717" s="16">
        <v>153</v>
      </c>
      <c r="M717" s="28">
        <f t="shared" ca="1" si="57"/>
        <v>138</v>
      </c>
      <c r="N717" s="28">
        <f t="shared" ca="1" si="58"/>
        <v>158</v>
      </c>
      <c r="O717" s="42">
        <f t="shared" ref="O717:O780" ca="1" si="59">IF(AND(L717&gt;=M717,L717&lt;=N717),1,0)</f>
        <v>1</v>
      </c>
    </row>
    <row r="718" spans="11:15" x14ac:dyDescent="0.25">
      <c r="K718" s="15" t="s">
        <v>1467</v>
      </c>
      <c r="L718" s="16">
        <v>137</v>
      </c>
      <c r="M718" s="28">
        <f t="shared" ca="1" si="57"/>
        <v>138</v>
      </c>
      <c r="N718" s="28">
        <f t="shared" ca="1" si="58"/>
        <v>158</v>
      </c>
      <c r="O718" s="42">
        <f t="shared" ca="1" si="59"/>
        <v>0</v>
      </c>
    </row>
    <row r="719" spans="11:15" x14ac:dyDescent="0.25">
      <c r="K719" s="15" t="s">
        <v>1468</v>
      </c>
      <c r="L719" s="16">
        <v>144</v>
      </c>
      <c r="M719" s="28">
        <f t="shared" ca="1" si="57"/>
        <v>138</v>
      </c>
      <c r="N719" s="28">
        <f t="shared" ca="1" si="58"/>
        <v>158</v>
      </c>
      <c r="O719" s="42">
        <f t="shared" ca="1" si="59"/>
        <v>1</v>
      </c>
    </row>
    <row r="720" spans="11:15" x14ac:dyDescent="0.25">
      <c r="K720" s="15" t="s">
        <v>1469</v>
      </c>
      <c r="L720" s="16">
        <v>150</v>
      </c>
      <c r="M720" s="28">
        <f t="shared" ca="1" si="57"/>
        <v>138</v>
      </c>
      <c r="N720" s="28">
        <f t="shared" ca="1" si="58"/>
        <v>158</v>
      </c>
      <c r="O720" s="42">
        <f t="shared" ca="1" si="59"/>
        <v>1</v>
      </c>
    </row>
    <row r="721" spans="11:15" x14ac:dyDescent="0.25">
      <c r="K721" s="15" t="s">
        <v>1470</v>
      </c>
      <c r="L721" s="16">
        <v>136</v>
      </c>
      <c r="M721" s="28">
        <f t="shared" ca="1" si="57"/>
        <v>138</v>
      </c>
      <c r="N721" s="28">
        <f t="shared" ca="1" si="58"/>
        <v>158</v>
      </c>
      <c r="O721" s="42">
        <f t="shared" ca="1" si="59"/>
        <v>0</v>
      </c>
    </row>
    <row r="722" spans="11:15" x14ac:dyDescent="0.25">
      <c r="K722" s="15" t="s">
        <v>1471</v>
      </c>
      <c r="L722" s="16">
        <v>151</v>
      </c>
      <c r="M722" s="28">
        <f t="shared" ca="1" si="57"/>
        <v>138</v>
      </c>
      <c r="N722" s="28">
        <f t="shared" ca="1" si="58"/>
        <v>158</v>
      </c>
      <c r="O722" s="42">
        <f t="shared" ca="1" si="59"/>
        <v>1</v>
      </c>
    </row>
    <row r="723" spans="11:15" x14ac:dyDescent="0.25">
      <c r="K723" s="15" t="s">
        <v>1472</v>
      </c>
      <c r="L723" s="16">
        <v>145</v>
      </c>
      <c r="M723" s="28">
        <f t="shared" ca="1" si="57"/>
        <v>138</v>
      </c>
      <c r="N723" s="28">
        <f t="shared" ca="1" si="58"/>
        <v>158</v>
      </c>
      <c r="O723" s="42">
        <f t="shared" ca="1" si="59"/>
        <v>1</v>
      </c>
    </row>
    <row r="724" spans="11:15" x14ac:dyDescent="0.25">
      <c r="K724" s="15" t="s">
        <v>1473</v>
      </c>
      <c r="L724" s="16">
        <v>138</v>
      </c>
      <c r="M724" s="28">
        <f t="shared" ca="1" si="57"/>
        <v>138</v>
      </c>
      <c r="N724" s="28">
        <f t="shared" ca="1" si="58"/>
        <v>158</v>
      </c>
      <c r="O724" s="42">
        <f t="shared" ca="1" si="59"/>
        <v>1</v>
      </c>
    </row>
    <row r="725" spans="11:15" x14ac:dyDescent="0.25">
      <c r="K725" s="15" t="s">
        <v>1474</v>
      </c>
      <c r="L725" s="16">
        <v>156</v>
      </c>
      <c r="M725" s="28">
        <f t="shared" ca="1" si="57"/>
        <v>138</v>
      </c>
      <c r="N725" s="28">
        <f t="shared" ca="1" si="58"/>
        <v>158</v>
      </c>
      <c r="O725" s="42">
        <f t="shared" ca="1" si="59"/>
        <v>1</v>
      </c>
    </row>
    <row r="726" spans="11:15" x14ac:dyDescent="0.25">
      <c r="K726" s="15" t="s">
        <v>1475</v>
      </c>
      <c r="L726" s="16">
        <v>146</v>
      </c>
      <c r="M726" s="28">
        <f t="shared" ca="1" si="57"/>
        <v>138</v>
      </c>
      <c r="N726" s="28">
        <f t="shared" ca="1" si="58"/>
        <v>158</v>
      </c>
      <c r="O726" s="42">
        <f t="shared" ca="1" si="59"/>
        <v>1</v>
      </c>
    </row>
    <row r="727" spans="11:15" x14ac:dyDescent="0.25">
      <c r="K727" s="15" t="s">
        <v>1476</v>
      </c>
      <c r="L727" s="16">
        <v>154</v>
      </c>
      <c r="M727" s="28">
        <f t="shared" ca="1" si="57"/>
        <v>138</v>
      </c>
      <c r="N727" s="28">
        <f t="shared" ca="1" si="58"/>
        <v>158</v>
      </c>
      <c r="O727" s="42">
        <f t="shared" ca="1" si="59"/>
        <v>1</v>
      </c>
    </row>
    <row r="728" spans="11:15" x14ac:dyDescent="0.25">
      <c r="K728" s="15" t="s">
        <v>1477</v>
      </c>
      <c r="L728" s="16">
        <v>159</v>
      </c>
      <c r="M728" s="28">
        <f t="shared" ca="1" si="57"/>
        <v>138</v>
      </c>
      <c r="N728" s="28">
        <f t="shared" ca="1" si="58"/>
        <v>158</v>
      </c>
      <c r="O728" s="42">
        <f t="shared" ca="1" si="59"/>
        <v>0</v>
      </c>
    </row>
    <row r="729" spans="11:15" x14ac:dyDescent="0.25">
      <c r="K729" s="15" t="s">
        <v>1478</v>
      </c>
      <c r="L729" s="16">
        <v>165</v>
      </c>
      <c r="M729" s="28">
        <f t="shared" ca="1" si="57"/>
        <v>138</v>
      </c>
      <c r="N729" s="28">
        <f t="shared" ca="1" si="58"/>
        <v>158</v>
      </c>
      <c r="O729" s="42">
        <f t="shared" ca="1" si="59"/>
        <v>0</v>
      </c>
    </row>
    <row r="730" spans="11:15" x14ac:dyDescent="0.25">
      <c r="K730" s="15" t="s">
        <v>1479</v>
      </c>
      <c r="L730" s="16">
        <v>147</v>
      </c>
      <c r="M730" s="28">
        <f t="shared" ca="1" si="57"/>
        <v>138</v>
      </c>
      <c r="N730" s="28">
        <f t="shared" ca="1" si="58"/>
        <v>158</v>
      </c>
      <c r="O730" s="42">
        <f t="shared" ca="1" si="59"/>
        <v>1</v>
      </c>
    </row>
    <row r="731" spans="11:15" x14ac:dyDescent="0.25">
      <c r="K731" s="15" t="s">
        <v>1480</v>
      </c>
      <c r="L731" s="16">
        <v>150</v>
      </c>
      <c r="M731" s="28">
        <f t="shared" ca="1" si="57"/>
        <v>138</v>
      </c>
      <c r="N731" s="28">
        <f t="shared" ca="1" si="58"/>
        <v>158</v>
      </c>
      <c r="O731" s="42">
        <f t="shared" ca="1" si="59"/>
        <v>1</v>
      </c>
    </row>
    <row r="732" spans="11:15" x14ac:dyDescent="0.25">
      <c r="K732" s="15" t="s">
        <v>1481</v>
      </c>
      <c r="L732" s="16">
        <v>144</v>
      </c>
      <c r="M732" s="28">
        <f t="shared" ca="1" si="57"/>
        <v>138</v>
      </c>
      <c r="N732" s="28">
        <f t="shared" ca="1" si="58"/>
        <v>158</v>
      </c>
      <c r="O732" s="42">
        <f t="shared" ca="1" si="59"/>
        <v>1</v>
      </c>
    </row>
    <row r="733" spans="11:15" x14ac:dyDescent="0.25">
      <c r="K733" s="15" t="s">
        <v>1482</v>
      </c>
      <c r="L733" s="16">
        <v>140</v>
      </c>
      <c r="M733" s="28">
        <f t="shared" ca="1" si="57"/>
        <v>138</v>
      </c>
      <c r="N733" s="28">
        <f t="shared" ca="1" si="58"/>
        <v>158</v>
      </c>
      <c r="O733" s="42">
        <f t="shared" ca="1" si="59"/>
        <v>1</v>
      </c>
    </row>
    <row r="734" spans="11:15" x14ac:dyDescent="0.25">
      <c r="K734" s="15" t="s">
        <v>1483</v>
      </c>
      <c r="L734" s="16">
        <v>143</v>
      </c>
      <c r="M734" s="28">
        <f t="shared" ca="1" si="57"/>
        <v>138</v>
      </c>
      <c r="N734" s="28">
        <f t="shared" ca="1" si="58"/>
        <v>158</v>
      </c>
      <c r="O734" s="42">
        <f t="shared" ca="1" si="59"/>
        <v>1</v>
      </c>
    </row>
    <row r="735" spans="11:15" x14ac:dyDescent="0.25">
      <c r="K735" s="15" t="s">
        <v>1484</v>
      </c>
      <c r="L735" s="16">
        <v>144</v>
      </c>
      <c r="M735" s="28">
        <f t="shared" ca="1" si="57"/>
        <v>138</v>
      </c>
      <c r="N735" s="28">
        <f t="shared" ca="1" si="58"/>
        <v>158</v>
      </c>
      <c r="O735" s="42">
        <f t="shared" ca="1" si="59"/>
        <v>1</v>
      </c>
    </row>
    <row r="736" spans="11:15" x14ac:dyDescent="0.25">
      <c r="K736" s="15" t="s">
        <v>1485</v>
      </c>
      <c r="L736" s="16">
        <v>155</v>
      </c>
      <c r="M736" s="28">
        <f t="shared" ca="1" si="57"/>
        <v>138</v>
      </c>
      <c r="N736" s="28">
        <f t="shared" ca="1" si="58"/>
        <v>158</v>
      </c>
      <c r="O736" s="42">
        <f t="shared" ca="1" si="59"/>
        <v>1</v>
      </c>
    </row>
    <row r="737" spans="11:15" x14ac:dyDescent="0.25">
      <c r="K737" s="15" t="s">
        <v>1486</v>
      </c>
      <c r="L737" s="16">
        <v>157</v>
      </c>
      <c r="M737" s="28">
        <f t="shared" ca="1" si="57"/>
        <v>138</v>
      </c>
      <c r="N737" s="28">
        <f t="shared" ca="1" si="58"/>
        <v>158</v>
      </c>
      <c r="O737" s="42">
        <f t="shared" ca="1" si="59"/>
        <v>1</v>
      </c>
    </row>
    <row r="738" spans="11:15" x14ac:dyDescent="0.25">
      <c r="K738" s="15" t="s">
        <v>1487</v>
      </c>
      <c r="L738" s="16">
        <v>142</v>
      </c>
      <c r="M738" s="28">
        <f t="shared" ca="1" si="57"/>
        <v>138</v>
      </c>
      <c r="N738" s="28">
        <f t="shared" ca="1" si="58"/>
        <v>158</v>
      </c>
      <c r="O738" s="42">
        <f t="shared" ca="1" si="59"/>
        <v>1</v>
      </c>
    </row>
    <row r="739" spans="11:15" x14ac:dyDescent="0.25">
      <c r="K739" s="15" t="s">
        <v>1488</v>
      </c>
      <c r="L739" s="16">
        <v>139</v>
      </c>
      <c r="M739" s="28">
        <f t="shared" ca="1" si="57"/>
        <v>138</v>
      </c>
      <c r="N739" s="28">
        <f t="shared" ca="1" si="58"/>
        <v>158</v>
      </c>
      <c r="O739" s="42">
        <f t="shared" ca="1" si="59"/>
        <v>1</v>
      </c>
    </row>
    <row r="740" spans="11:15" x14ac:dyDescent="0.25">
      <c r="K740" s="15" t="s">
        <v>1489</v>
      </c>
      <c r="L740" s="16">
        <v>137</v>
      </c>
      <c r="M740" s="28">
        <f t="shared" ca="1" si="57"/>
        <v>138</v>
      </c>
      <c r="N740" s="28">
        <f t="shared" ca="1" si="58"/>
        <v>158</v>
      </c>
      <c r="O740" s="42">
        <f t="shared" ca="1" si="59"/>
        <v>0</v>
      </c>
    </row>
    <row r="741" spans="11:15" x14ac:dyDescent="0.25">
      <c r="K741" s="15" t="s">
        <v>1490</v>
      </c>
      <c r="L741" s="16">
        <v>165</v>
      </c>
      <c r="M741" s="28">
        <f t="shared" ca="1" si="57"/>
        <v>138</v>
      </c>
      <c r="N741" s="28">
        <f t="shared" ca="1" si="58"/>
        <v>158</v>
      </c>
      <c r="O741" s="42">
        <f t="shared" ca="1" si="59"/>
        <v>0</v>
      </c>
    </row>
    <row r="742" spans="11:15" x14ac:dyDescent="0.25">
      <c r="K742" s="15" t="s">
        <v>1491</v>
      </c>
      <c r="L742" s="16">
        <v>136</v>
      </c>
      <c r="M742" s="28">
        <f t="shared" ca="1" si="57"/>
        <v>138</v>
      </c>
      <c r="N742" s="28">
        <f t="shared" ca="1" si="58"/>
        <v>158</v>
      </c>
      <c r="O742" s="42">
        <f t="shared" ca="1" si="59"/>
        <v>0</v>
      </c>
    </row>
    <row r="743" spans="11:15" x14ac:dyDescent="0.25">
      <c r="K743" s="15" t="s">
        <v>1492</v>
      </c>
      <c r="L743" s="16">
        <v>155</v>
      </c>
      <c r="M743" s="28">
        <f t="shared" ca="1" si="57"/>
        <v>138</v>
      </c>
      <c r="N743" s="28">
        <f t="shared" ca="1" si="58"/>
        <v>158</v>
      </c>
      <c r="O743" s="42">
        <f t="shared" ca="1" si="59"/>
        <v>1</v>
      </c>
    </row>
    <row r="744" spans="11:15" x14ac:dyDescent="0.25">
      <c r="K744" s="15" t="s">
        <v>1493</v>
      </c>
      <c r="L744" s="16">
        <v>157</v>
      </c>
      <c r="M744" s="28">
        <f t="shared" ca="1" si="57"/>
        <v>138</v>
      </c>
      <c r="N744" s="28">
        <f t="shared" ca="1" si="58"/>
        <v>158</v>
      </c>
      <c r="O744" s="42">
        <f t="shared" ca="1" si="59"/>
        <v>1</v>
      </c>
    </row>
    <row r="745" spans="11:15" x14ac:dyDescent="0.25">
      <c r="K745" s="15" t="s">
        <v>1494</v>
      </c>
      <c r="L745" s="16">
        <v>138</v>
      </c>
      <c r="M745" s="28">
        <f t="shared" ca="1" si="57"/>
        <v>138</v>
      </c>
      <c r="N745" s="28">
        <f t="shared" ca="1" si="58"/>
        <v>158</v>
      </c>
      <c r="O745" s="42">
        <f t="shared" ca="1" si="59"/>
        <v>1</v>
      </c>
    </row>
    <row r="746" spans="11:15" x14ac:dyDescent="0.25">
      <c r="K746" s="15" t="s">
        <v>1495</v>
      </c>
      <c r="L746" s="16">
        <v>137</v>
      </c>
      <c r="M746" s="28">
        <f t="shared" ca="1" si="57"/>
        <v>138</v>
      </c>
      <c r="N746" s="28">
        <f t="shared" ca="1" si="58"/>
        <v>158</v>
      </c>
      <c r="O746" s="42">
        <f t="shared" ca="1" si="59"/>
        <v>0</v>
      </c>
    </row>
    <row r="747" spans="11:15" x14ac:dyDescent="0.25">
      <c r="K747" s="15" t="s">
        <v>1496</v>
      </c>
      <c r="L747" s="16">
        <v>152</v>
      </c>
      <c r="M747" s="28">
        <f t="shared" ca="1" si="57"/>
        <v>138</v>
      </c>
      <c r="N747" s="28">
        <f t="shared" ca="1" si="58"/>
        <v>158</v>
      </c>
      <c r="O747" s="42">
        <f t="shared" ca="1" si="59"/>
        <v>1</v>
      </c>
    </row>
    <row r="748" spans="11:15" x14ac:dyDescent="0.25">
      <c r="K748" s="15" t="s">
        <v>1497</v>
      </c>
      <c r="L748" s="16">
        <v>133</v>
      </c>
      <c r="M748" s="28">
        <f t="shared" ca="1" si="57"/>
        <v>138</v>
      </c>
      <c r="N748" s="28">
        <f t="shared" ca="1" si="58"/>
        <v>158</v>
      </c>
      <c r="O748" s="42">
        <f t="shared" ca="1" si="59"/>
        <v>0</v>
      </c>
    </row>
    <row r="749" spans="11:15" x14ac:dyDescent="0.25">
      <c r="K749" s="15" t="s">
        <v>1498</v>
      </c>
      <c r="L749" s="16">
        <v>150</v>
      </c>
      <c r="M749" s="28">
        <f t="shared" ca="1" si="57"/>
        <v>138</v>
      </c>
      <c r="N749" s="28">
        <f t="shared" ca="1" si="58"/>
        <v>158</v>
      </c>
      <c r="O749" s="42">
        <f t="shared" ca="1" si="59"/>
        <v>1</v>
      </c>
    </row>
    <row r="750" spans="11:15" x14ac:dyDescent="0.25">
      <c r="K750" s="15" t="s">
        <v>1499</v>
      </c>
      <c r="L750" s="16">
        <v>156</v>
      </c>
      <c r="M750" s="28">
        <f t="shared" ca="1" si="57"/>
        <v>138</v>
      </c>
      <c r="N750" s="28">
        <f t="shared" ca="1" si="58"/>
        <v>158</v>
      </c>
      <c r="O750" s="42">
        <f t="shared" ca="1" si="59"/>
        <v>1</v>
      </c>
    </row>
    <row r="751" spans="11:15" x14ac:dyDescent="0.25">
      <c r="K751" s="15" t="s">
        <v>1500</v>
      </c>
      <c r="L751" s="16">
        <v>147</v>
      </c>
      <c r="M751" s="28">
        <f t="shared" ca="1" si="57"/>
        <v>138</v>
      </c>
      <c r="N751" s="28">
        <f t="shared" ca="1" si="58"/>
        <v>158</v>
      </c>
      <c r="O751" s="42">
        <f t="shared" ca="1" si="59"/>
        <v>1</v>
      </c>
    </row>
    <row r="752" spans="11:15" x14ac:dyDescent="0.25">
      <c r="K752" s="15" t="s">
        <v>1501</v>
      </c>
      <c r="L752" s="16">
        <v>145</v>
      </c>
      <c r="M752" s="28">
        <f t="shared" ca="1" si="57"/>
        <v>138</v>
      </c>
      <c r="N752" s="28">
        <f t="shared" ca="1" si="58"/>
        <v>158</v>
      </c>
      <c r="O752" s="42">
        <f t="shared" ca="1" si="59"/>
        <v>1</v>
      </c>
    </row>
    <row r="753" spans="11:15" x14ac:dyDescent="0.25">
      <c r="K753" s="15" t="s">
        <v>1502</v>
      </c>
      <c r="L753" s="16">
        <v>143</v>
      </c>
      <c r="M753" s="28">
        <f t="shared" ca="1" si="57"/>
        <v>138</v>
      </c>
      <c r="N753" s="28">
        <f t="shared" ca="1" si="58"/>
        <v>158</v>
      </c>
      <c r="O753" s="42">
        <f t="shared" ca="1" si="59"/>
        <v>1</v>
      </c>
    </row>
    <row r="754" spans="11:15" x14ac:dyDescent="0.25">
      <c r="K754" s="15" t="s">
        <v>1503</v>
      </c>
      <c r="L754" s="16">
        <v>144</v>
      </c>
      <c r="M754" s="28">
        <f t="shared" ca="1" si="57"/>
        <v>138</v>
      </c>
      <c r="N754" s="28">
        <f t="shared" ca="1" si="58"/>
        <v>158</v>
      </c>
      <c r="O754" s="42">
        <f t="shared" ca="1" si="59"/>
        <v>1</v>
      </c>
    </row>
    <row r="755" spans="11:15" x14ac:dyDescent="0.25">
      <c r="K755" s="15" t="s">
        <v>1504</v>
      </c>
      <c r="L755" s="16">
        <v>150</v>
      </c>
      <c r="M755" s="28">
        <f t="shared" ca="1" si="57"/>
        <v>138</v>
      </c>
      <c r="N755" s="28">
        <f t="shared" ca="1" si="58"/>
        <v>158</v>
      </c>
      <c r="O755" s="42">
        <f t="shared" ca="1" si="59"/>
        <v>1</v>
      </c>
    </row>
    <row r="756" spans="11:15" x14ac:dyDescent="0.25">
      <c r="K756" s="15" t="s">
        <v>1505</v>
      </c>
      <c r="L756" s="16">
        <v>162</v>
      </c>
      <c r="M756" s="28">
        <f t="shared" ca="1" si="57"/>
        <v>138</v>
      </c>
      <c r="N756" s="28">
        <f t="shared" ca="1" si="58"/>
        <v>158</v>
      </c>
      <c r="O756" s="42">
        <f t="shared" ca="1" si="59"/>
        <v>0</v>
      </c>
    </row>
    <row r="757" spans="11:15" x14ac:dyDescent="0.25">
      <c r="K757" s="15" t="s">
        <v>1506</v>
      </c>
      <c r="L757" s="16">
        <v>146</v>
      </c>
      <c r="M757" s="28">
        <f t="shared" ca="1" si="57"/>
        <v>138</v>
      </c>
      <c r="N757" s="28">
        <f t="shared" ca="1" si="58"/>
        <v>158</v>
      </c>
      <c r="O757" s="42">
        <f t="shared" ca="1" si="59"/>
        <v>1</v>
      </c>
    </row>
    <row r="758" spans="11:15" x14ac:dyDescent="0.25">
      <c r="K758" s="15" t="s">
        <v>1507</v>
      </c>
      <c r="L758" s="16">
        <v>149</v>
      </c>
      <c r="M758" s="28">
        <f t="shared" ca="1" si="57"/>
        <v>138</v>
      </c>
      <c r="N758" s="28">
        <f t="shared" ca="1" si="58"/>
        <v>158</v>
      </c>
      <c r="O758" s="42">
        <f t="shared" ca="1" si="59"/>
        <v>1</v>
      </c>
    </row>
    <row r="759" spans="11:15" x14ac:dyDescent="0.25">
      <c r="K759" s="15" t="s">
        <v>1508</v>
      </c>
      <c r="L759" s="16">
        <v>150</v>
      </c>
      <c r="M759" s="28">
        <f t="shared" ca="1" si="57"/>
        <v>138</v>
      </c>
      <c r="N759" s="28">
        <f t="shared" ca="1" si="58"/>
        <v>158</v>
      </c>
      <c r="O759" s="42">
        <f t="shared" ca="1" si="59"/>
        <v>1</v>
      </c>
    </row>
    <row r="760" spans="11:15" x14ac:dyDescent="0.25">
      <c r="K760" s="15" t="s">
        <v>1509</v>
      </c>
      <c r="L760" s="16">
        <v>148</v>
      </c>
      <c r="M760" s="28">
        <f t="shared" ca="1" si="57"/>
        <v>138</v>
      </c>
      <c r="N760" s="28">
        <f t="shared" ca="1" si="58"/>
        <v>158</v>
      </c>
      <c r="O760" s="42">
        <f t="shared" ca="1" si="59"/>
        <v>1</v>
      </c>
    </row>
    <row r="761" spans="11:15" x14ac:dyDescent="0.25">
      <c r="K761" s="15" t="s">
        <v>1510</v>
      </c>
      <c r="L761" s="16">
        <v>153</v>
      </c>
      <c r="M761" s="28">
        <f t="shared" ca="1" si="57"/>
        <v>138</v>
      </c>
      <c r="N761" s="28">
        <f t="shared" ca="1" si="58"/>
        <v>158</v>
      </c>
      <c r="O761" s="42">
        <f t="shared" ca="1" si="59"/>
        <v>1</v>
      </c>
    </row>
    <row r="762" spans="11:15" x14ac:dyDescent="0.25">
      <c r="K762" s="15" t="s">
        <v>1511</v>
      </c>
      <c r="L762" s="16">
        <v>156</v>
      </c>
      <c r="M762" s="28">
        <f t="shared" ca="1" si="57"/>
        <v>138</v>
      </c>
      <c r="N762" s="28">
        <f t="shared" ca="1" si="58"/>
        <v>158</v>
      </c>
      <c r="O762" s="42">
        <f t="shared" ca="1" si="59"/>
        <v>1</v>
      </c>
    </row>
    <row r="763" spans="11:15" x14ac:dyDescent="0.25">
      <c r="K763" s="15" t="s">
        <v>1512</v>
      </c>
      <c r="L763" s="16">
        <v>151</v>
      </c>
      <c r="M763" s="28">
        <f t="shared" ca="1" si="57"/>
        <v>138</v>
      </c>
      <c r="N763" s="28">
        <f t="shared" ca="1" si="58"/>
        <v>158</v>
      </c>
      <c r="O763" s="42">
        <f t="shared" ca="1" si="59"/>
        <v>1</v>
      </c>
    </row>
    <row r="764" spans="11:15" x14ac:dyDescent="0.25">
      <c r="K764" s="15" t="s">
        <v>1513</v>
      </c>
      <c r="L764" s="16">
        <v>142</v>
      </c>
      <c r="M764" s="28">
        <f t="shared" ca="1" si="57"/>
        <v>138</v>
      </c>
      <c r="N764" s="28">
        <f t="shared" ca="1" si="58"/>
        <v>158</v>
      </c>
      <c r="O764" s="42">
        <f t="shared" ca="1" si="59"/>
        <v>1</v>
      </c>
    </row>
    <row r="765" spans="11:15" x14ac:dyDescent="0.25">
      <c r="K765" s="15" t="s">
        <v>1514</v>
      </c>
      <c r="L765" s="16">
        <v>144</v>
      </c>
      <c r="M765" s="28">
        <f t="shared" ca="1" si="57"/>
        <v>138</v>
      </c>
      <c r="N765" s="28">
        <f t="shared" ca="1" si="58"/>
        <v>158</v>
      </c>
      <c r="O765" s="42">
        <f t="shared" ca="1" si="59"/>
        <v>1</v>
      </c>
    </row>
    <row r="766" spans="11:15" x14ac:dyDescent="0.25">
      <c r="K766" s="15" t="s">
        <v>1515</v>
      </c>
      <c r="L766" s="16">
        <v>155</v>
      </c>
      <c r="M766" s="28">
        <f t="shared" ca="1" si="57"/>
        <v>138</v>
      </c>
      <c r="N766" s="28">
        <f t="shared" ca="1" si="58"/>
        <v>158</v>
      </c>
      <c r="O766" s="42">
        <f t="shared" ca="1" si="59"/>
        <v>1</v>
      </c>
    </row>
    <row r="767" spans="11:15" x14ac:dyDescent="0.25">
      <c r="K767" s="15" t="s">
        <v>1516</v>
      </c>
      <c r="L767" s="16">
        <v>154</v>
      </c>
      <c r="M767" s="28">
        <f t="shared" ca="1" si="57"/>
        <v>138</v>
      </c>
      <c r="N767" s="28">
        <f t="shared" ca="1" si="58"/>
        <v>158</v>
      </c>
      <c r="O767" s="42">
        <f t="shared" ca="1" si="59"/>
        <v>1</v>
      </c>
    </row>
    <row r="768" spans="11:15" x14ac:dyDescent="0.25">
      <c r="K768" s="15" t="s">
        <v>1517</v>
      </c>
      <c r="L768" s="16">
        <v>161</v>
      </c>
      <c r="M768" s="28">
        <f t="shared" ca="1" si="57"/>
        <v>138</v>
      </c>
      <c r="N768" s="28">
        <f t="shared" ca="1" si="58"/>
        <v>158</v>
      </c>
      <c r="O768" s="42">
        <f t="shared" ca="1" si="59"/>
        <v>0</v>
      </c>
    </row>
    <row r="769" spans="11:15" x14ac:dyDescent="0.25">
      <c r="K769" s="15" t="s">
        <v>1518</v>
      </c>
      <c r="L769" s="16">
        <v>139</v>
      </c>
      <c r="M769" s="28">
        <f t="shared" ca="1" si="57"/>
        <v>138</v>
      </c>
      <c r="N769" s="28">
        <f t="shared" ca="1" si="58"/>
        <v>158</v>
      </c>
      <c r="O769" s="42">
        <f t="shared" ca="1" si="59"/>
        <v>1</v>
      </c>
    </row>
    <row r="770" spans="11:15" x14ac:dyDescent="0.25">
      <c r="K770" s="15" t="s">
        <v>1519</v>
      </c>
      <c r="L770" s="16">
        <v>142</v>
      </c>
      <c r="M770" s="28">
        <f t="shared" ca="1" si="57"/>
        <v>138</v>
      </c>
      <c r="N770" s="28">
        <f t="shared" ca="1" si="58"/>
        <v>158</v>
      </c>
      <c r="O770" s="42">
        <f t="shared" ca="1" si="59"/>
        <v>1</v>
      </c>
    </row>
    <row r="771" spans="11:15" x14ac:dyDescent="0.25">
      <c r="K771" s="15" t="s">
        <v>1520</v>
      </c>
      <c r="L771" s="16">
        <v>140</v>
      </c>
      <c r="M771" s="28">
        <f t="shared" ca="1" si="57"/>
        <v>138</v>
      </c>
      <c r="N771" s="28">
        <f t="shared" ca="1" si="58"/>
        <v>158</v>
      </c>
      <c r="O771" s="42">
        <f t="shared" ca="1" si="59"/>
        <v>1</v>
      </c>
    </row>
    <row r="772" spans="11:15" x14ac:dyDescent="0.25">
      <c r="K772" s="15" t="s">
        <v>1521</v>
      </c>
      <c r="L772" s="16">
        <v>151</v>
      </c>
      <c r="M772" s="28">
        <f t="shared" ca="1" si="57"/>
        <v>138</v>
      </c>
      <c r="N772" s="28">
        <f t="shared" ca="1" si="58"/>
        <v>158</v>
      </c>
      <c r="O772" s="42">
        <f t="shared" ca="1" si="59"/>
        <v>1</v>
      </c>
    </row>
    <row r="773" spans="11:15" x14ac:dyDescent="0.25">
      <c r="K773" s="15" t="s">
        <v>1522</v>
      </c>
      <c r="L773" s="16">
        <v>166</v>
      </c>
      <c r="M773" s="28">
        <f t="shared" ca="1" si="57"/>
        <v>138</v>
      </c>
      <c r="N773" s="28">
        <f t="shared" ca="1" si="58"/>
        <v>158</v>
      </c>
      <c r="O773" s="42">
        <f t="shared" ca="1" si="59"/>
        <v>0</v>
      </c>
    </row>
    <row r="774" spans="11:15" x14ac:dyDescent="0.25">
      <c r="K774" s="15" t="s">
        <v>1523</v>
      </c>
      <c r="L774" s="16">
        <v>164</v>
      </c>
      <c r="M774" s="28">
        <f t="shared" ca="1" si="57"/>
        <v>138</v>
      </c>
      <c r="N774" s="28">
        <f t="shared" ca="1" si="58"/>
        <v>158</v>
      </c>
      <c r="O774" s="42">
        <f t="shared" ca="1" si="59"/>
        <v>0</v>
      </c>
    </row>
    <row r="775" spans="11:15" x14ac:dyDescent="0.25">
      <c r="K775" s="15" t="s">
        <v>1524</v>
      </c>
      <c r="L775" s="16">
        <v>145</v>
      </c>
      <c r="M775" s="28">
        <f t="shared" ca="1" si="57"/>
        <v>138</v>
      </c>
      <c r="N775" s="28">
        <f t="shared" ca="1" si="58"/>
        <v>158</v>
      </c>
      <c r="O775" s="42">
        <f t="shared" ca="1" si="59"/>
        <v>1</v>
      </c>
    </row>
    <row r="776" spans="11:15" x14ac:dyDescent="0.25">
      <c r="K776" s="15" t="s">
        <v>1525</v>
      </c>
      <c r="L776" s="16">
        <v>143</v>
      </c>
      <c r="M776" s="28">
        <f t="shared" ca="1" si="57"/>
        <v>138</v>
      </c>
      <c r="N776" s="28">
        <f t="shared" ca="1" si="58"/>
        <v>158</v>
      </c>
      <c r="O776" s="42">
        <f t="shared" ca="1" si="59"/>
        <v>1</v>
      </c>
    </row>
    <row r="777" spans="11:15" x14ac:dyDescent="0.25">
      <c r="K777" s="15" t="s">
        <v>1526</v>
      </c>
      <c r="L777" s="16">
        <v>151</v>
      </c>
      <c r="M777" s="28">
        <f t="shared" ca="1" si="57"/>
        <v>138</v>
      </c>
      <c r="N777" s="28">
        <f t="shared" ca="1" si="58"/>
        <v>158</v>
      </c>
      <c r="O777" s="42">
        <f t="shared" ca="1" si="59"/>
        <v>1</v>
      </c>
    </row>
    <row r="778" spans="11:15" x14ac:dyDescent="0.25">
      <c r="K778" s="15" t="s">
        <v>1527</v>
      </c>
      <c r="L778" s="16">
        <v>151</v>
      </c>
      <c r="M778" s="28">
        <f t="shared" ca="1" si="57"/>
        <v>138</v>
      </c>
      <c r="N778" s="28">
        <f t="shared" ca="1" si="58"/>
        <v>158</v>
      </c>
      <c r="O778" s="42">
        <f t="shared" ca="1" si="59"/>
        <v>1</v>
      </c>
    </row>
    <row r="779" spans="11:15" x14ac:dyDescent="0.25">
      <c r="K779" s="15" t="s">
        <v>1528</v>
      </c>
      <c r="L779" s="16">
        <v>138</v>
      </c>
      <c r="M779" s="28">
        <f t="shared" ref="M779:M842" ca="1" si="60">$I$14-epsilon</f>
        <v>138</v>
      </c>
      <c r="N779" s="28">
        <f t="shared" ref="N779:N842" ca="1" si="61">$I$14+epsilon</f>
        <v>158</v>
      </c>
      <c r="O779" s="42">
        <f t="shared" ca="1" si="59"/>
        <v>1</v>
      </c>
    </row>
    <row r="780" spans="11:15" x14ac:dyDescent="0.25">
      <c r="K780" s="15" t="s">
        <v>1529</v>
      </c>
      <c r="L780" s="16">
        <v>148</v>
      </c>
      <c r="M780" s="28">
        <f t="shared" ca="1" si="60"/>
        <v>138</v>
      </c>
      <c r="N780" s="28">
        <f t="shared" ca="1" si="61"/>
        <v>158</v>
      </c>
      <c r="O780" s="42">
        <f t="shared" ca="1" si="59"/>
        <v>1</v>
      </c>
    </row>
    <row r="781" spans="11:15" x14ac:dyDescent="0.25">
      <c r="K781" s="15" t="s">
        <v>1530</v>
      </c>
      <c r="L781" s="16">
        <v>125</v>
      </c>
      <c r="M781" s="28">
        <f t="shared" ca="1" si="60"/>
        <v>138</v>
      </c>
      <c r="N781" s="28">
        <f t="shared" ca="1" si="61"/>
        <v>158</v>
      </c>
      <c r="O781" s="42">
        <f t="shared" ref="O781:O844" ca="1" si="62">IF(AND(L781&gt;=M781,L781&lt;=N781),1,0)</f>
        <v>0</v>
      </c>
    </row>
    <row r="782" spans="11:15" x14ac:dyDescent="0.25">
      <c r="K782" s="15" t="s">
        <v>1531</v>
      </c>
      <c r="L782" s="16">
        <v>141</v>
      </c>
      <c r="M782" s="28">
        <f t="shared" ca="1" si="60"/>
        <v>138</v>
      </c>
      <c r="N782" s="28">
        <f t="shared" ca="1" si="61"/>
        <v>158</v>
      </c>
      <c r="O782" s="42">
        <f t="shared" ca="1" si="62"/>
        <v>1</v>
      </c>
    </row>
    <row r="783" spans="11:15" x14ac:dyDescent="0.25">
      <c r="K783" s="15" t="s">
        <v>1532</v>
      </c>
      <c r="L783" s="16">
        <v>150</v>
      </c>
      <c r="M783" s="28">
        <f t="shared" ca="1" si="60"/>
        <v>138</v>
      </c>
      <c r="N783" s="28">
        <f t="shared" ca="1" si="61"/>
        <v>158</v>
      </c>
      <c r="O783" s="42">
        <f t="shared" ca="1" si="62"/>
        <v>1</v>
      </c>
    </row>
    <row r="784" spans="11:15" x14ac:dyDescent="0.25">
      <c r="K784" s="15" t="s">
        <v>1533</v>
      </c>
      <c r="L784" s="16">
        <v>152</v>
      </c>
      <c r="M784" s="28">
        <f t="shared" ca="1" si="60"/>
        <v>138</v>
      </c>
      <c r="N784" s="28">
        <f t="shared" ca="1" si="61"/>
        <v>158</v>
      </c>
      <c r="O784" s="42">
        <f t="shared" ca="1" si="62"/>
        <v>1</v>
      </c>
    </row>
    <row r="785" spans="11:15" x14ac:dyDescent="0.25">
      <c r="K785" s="15" t="s">
        <v>1534</v>
      </c>
      <c r="L785" s="16">
        <v>153</v>
      </c>
      <c r="M785" s="28">
        <f t="shared" ca="1" si="60"/>
        <v>138</v>
      </c>
      <c r="N785" s="28">
        <f t="shared" ca="1" si="61"/>
        <v>158</v>
      </c>
      <c r="O785" s="42">
        <f t="shared" ca="1" si="62"/>
        <v>1</v>
      </c>
    </row>
    <row r="786" spans="11:15" x14ac:dyDescent="0.25">
      <c r="K786" s="15" t="s">
        <v>1535</v>
      </c>
      <c r="L786" s="16">
        <v>146</v>
      </c>
      <c r="M786" s="28">
        <f t="shared" ca="1" si="60"/>
        <v>138</v>
      </c>
      <c r="N786" s="28">
        <f t="shared" ca="1" si="61"/>
        <v>158</v>
      </c>
      <c r="O786" s="42">
        <f t="shared" ca="1" si="62"/>
        <v>1</v>
      </c>
    </row>
    <row r="787" spans="11:15" x14ac:dyDescent="0.25">
      <c r="K787" s="15" t="s">
        <v>1536</v>
      </c>
      <c r="L787" s="16">
        <v>156</v>
      </c>
      <c r="M787" s="28">
        <f t="shared" ca="1" si="60"/>
        <v>138</v>
      </c>
      <c r="N787" s="28">
        <f t="shared" ca="1" si="61"/>
        <v>158</v>
      </c>
      <c r="O787" s="42">
        <f t="shared" ca="1" si="62"/>
        <v>1</v>
      </c>
    </row>
    <row r="788" spans="11:15" x14ac:dyDescent="0.25">
      <c r="K788" s="15" t="s">
        <v>1537</v>
      </c>
      <c r="L788" s="16">
        <v>148</v>
      </c>
      <c r="M788" s="28">
        <f t="shared" ca="1" si="60"/>
        <v>138</v>
      </c>
      <c r="N788" s="28">
        <f t="shared" ca="1" si="61"/>
        <v>158</v>
      </c>
      <c r="O788" s="42">
        <f t="shared" ca="1" si="62"/>
        <v>1</v>
      </c>
    </row>
    <row r="789" spans="11:15" x14ac:dyDescent="0.25">
      <c r="K789" s="15" t="s">
        <v>1538</v>
      </c>
      <c r="L789" s="16">
        <v>147</v>
      </c>
      <c r="M789" s="28">
        <f t="shared" ca="1" si="60"/>
        <v>138</v>
      </c>
      <c r="N789" s="28">
        <f t="shared" ca="1" si="61"/>
        <v>158</v>
      </c>
      <c r="O789" s="42">
        <f t="shared" ca="1" si="62"/>
        <v>1</v>
      </c>
    </row>
    <row r="790" spans="11:15" x14ac:dyDescent="0.25">
      <c r="K790" s="15" t="s">
        <v>1539</v>
      </c>
      <c r="L790" s="16">
        <v>152</v>
      </c>
      <c r="M790" s="28">
        <f t="shared" ca="1" si="60"/>
        <v>138</v>
      </c>
      <c r="N790" s="28">
        <f t="shared" ca="1" si="61"/>
        <v>158</v>
      </c>
      <c r="O790" s="42">
        <f t="shared" ca="1" si="62"/>
        <v>1</v>
      </c>
    </row>
    <row r="791" spans="11:15" x14ac:dyDescent="0.25">
      <c r="K791" s="15" t="s">
        <v>1540</v>
      </c>
      <c r="L791" s="16">
        <v>160</v>
      </c>
      <c r="M791" s="28">
        <f t="shared" ca="1" si="60"/>
        <v>138</v>
      </c>
      <c r="N791" s="28">
        <f t="shared" ca="1" si="61"/>
        <v>158</v>
      </c>
      <c r="O791" s="42">
        <f t="shared" ca="1" si="62"/>
        <v>0</v>
      </c>
    </row>
    <row r="792" spans="11:15" x14ac:dyDescent="0.25">
      <c r="K792" s="15" t="s">
        <v>1541</v>
      </c>
      <c r="L792" s="16">
        <v>142</v>
      </c>
      <c r="M792" s="28">
        <f t="shared" ca="1" si="60"/>
        <v>138</v>
      </c>
      <c r="N792" s="28">
        <f t="shared" ca="1" si="61"/>
        <v>158</v>
      </c>
      <c r="O792" s="42">
        <f t="shared" ca="1" si="62"/>
        <v>1</v>
      </c>
    </row>
    <row r="793" spans="11:15" x14ac:dyDescent="0.25">
      <c r="K793" s="15" t="s">
        <v>1542</v>
      </c>
      <c r="L793" s="16">
        <v>148</v>
      </c>
      <c r="M793" s="28">
        <f t="shared" ca="1" si="60"/>
        <v>138</v>
      </c>
      <c r="N793" s="28">
        <f t="shared" ca="1" si="61"/>
        <v>158</v>
      </c>
      <c r="O793" s="42">
        <f t="shared" ca="1" si="62"/>
        <v>1</v>
      </c>
    </row>
    <row r="794" spans="11:15" x14ac:dyDescent="0.25">
      <c r="K794" s="15" t="s">
        <v>1543</v>
      </c>
      <c r="L794" s="16">
        <v>144</v>
      </c>
      <c r="M794" s="28">
        <f t="shared" ca="1" si="60"/>
        <v>138</v>
      </c>
      <c r="N794" s="28">
        <f t="shared" ca="1" si="61"/>
        <v>158</v>
      </c>
      <c r="O794" s="42">
        <f t="shared" ca="1" si="62"/>
        <v>1</v>
      </c>
    </row>
    <row r="795" spans="11:15" x14ac:dyDescent="0.25">
      <c r="K795" s="15" t="s">
        <v>1544</v>
      </c>
      <c r="L795" s="16">
        <v>134</v>
      </c>
      <c r="M795" s="28">
        <f t="shared" ca="1" si="60"/>
        <v>138</v>
      </c>
      <c r="N795" s="28">
        <f t="shared" ca="1" si="61"/>
        <v>158</v>
      </c>
      <c r="O795" s="42">
        <f t="shared" ca="1" si="62"/>
        <v>0</v>
      </c>
    </row>
    <row r="796" spans="11:15" x14ac:dyDescent="0.25">
      <c r="K796" s="15" t="s">
        <v>1545</v>
      </c>
      <c r="L796" s="16">
        <v>153</v>
      </c>
      <c r="M796" s="28">
        <f t="shared" ca="1" si="60"/>
        <v>138</v>
      </c>
      <c r="N796" s="28">
        <f t="shared" ca="1" si="61"/>
        <v>158</v>
      </c>
      <c r="O796" s="42">
        <f t="shared" ca="1" si="62"/>
        <v>1</v>
      </c>
    </row>
    <row r="797" spans="11:15" x14ac:dyDescent="0.25">
      <c r="K797" s="15" t="s">
        <v>1546</v>
      </c>
      <c r="L797" s="16">
        <v>146</v>
      </c>
      <c r="M797" s="28">
        <f t="shared" ca="1" si="60"/>
        <v>138</v>
      </c>
      <c r="N797" s="28">
        <f t="shared" ca="1" si="61"/>
        <v>158</v>
      </c>
      <c r="O797" s="42">
        <f t="shared" ca="1" si="62"/>
        <v>1</v>
      </c>
    </row>
    <row r="798" spans="11:15" x14ac:dyDescent="0.25">
      <c r="K798" s="15" t="s">
        <v>1547</v>
      </c>
      <c r="L798" s="16">
        <v>143</v>
      </c>
      <c r="M798" s="28">
        <f t="shared" ca="1" si="60"/>
        <v>138</v>
      </c>
      <c r="N798" s="28">
        <f t="shared" ca="1" si="61"/>
        <v>158</v>
      </c>
      <c r="O798" s="42">
        <f t="shared" ca="1" si="62"/>
        <v>1</v>
      </c>
    </row>
    <row r="799" spans="11:15" x14ac:dyDescent="0.25">
      <c r="K799" s="15" t="s">
        <v>1548</v>
      </c>
      <c r="L799" s="16">
        <v>144</v>
      </c>
      <c r="M799" s="28">
        <f t="shared" ca="1" si="60"/>
        <v>138</v>
      </c>
      <c r="N799" s="28">
        <f t="shared" ca="1" si="61"/>
        <v>158</v>
      </c>
      <c r="O799" s="42">
        <f t="shared" ca="1" si="62"/>
        <v>1</v>
      </c>
    </row>
    <row r="800" spans="11:15" x14ac:dyDescent="0.25">
      <c r="K800" s="15" t="s">
        <v>1549</v>
      </c>
      <c r="L800" s="16">
        <v>159</v>
      </c>
      <c r="M800" s="28">
        <f t="shared" ca="1" si="60"/>
        <v>138</v>
      </c>
      <c r="N800" s="28">
        <f t="shared" ca="1" si="61"/>
        <v>158</v>
      </c>
      <c r="O800" s="42">
        <f t="shared" ca="1" si="62"/>
        <v>0</v>
      </c>
    </row>
    <row r="801" spans="11:15" x14ac:dyDescent="0.25">
      <c r="K801" s="15" t="s">
        <v>1550</v>
      </c>
      <c r="L801" s="16">
        <v>152</v>
      </c>
      <c r="M801" s="28">
        <f t="shared" ca="1" si="60"/>
        <v>138</v>
      </c>
      <c r="N801" s="28">
        <f t="shared" ca="1" si="61"/>
        <v>158</v>
      </c>
      <c r="O801" s="42">
        <f t="shared" ca="1" si="62"/>
        <v>1</v>
      </c>
    </row>
    <row r="802" spans="11:15" x14ac:dyDescent="0.25">
      <c r="K802" s="15" t="s">
        <v>1551</v>
      </c>
      <c r="L802" s="16">
        <v>144</v>
      </c>
      <c r="M802" s="28">
        <f t="shared" ca="1" si="60"/>
        <v>138</v>
      </c>
      <c r="N802" s="28">
        <f t="shared" ca="1" si="61"/>
        <v>158</v>
      </c>
      <c r="O802" s="42">
        <f t="shared" ca="1" si="62"/>
        <v>1</v>
      </c>
    </row>
    <row r="803" spans="11:15" x14ac:dyDescent="0.25">
      <c r="K803" s="15" t="s">
        <v>1552</v>
      </c>
      <c r="L803" s="16">
        <v>148</v>
      </c>
      <c r="M803" s="28">
        <f t="shared" ca="1" si="60"/>
        <v>138</v>
      </c>
      <c r="N803" s="28">
        <f t="shared" ca="1" si="61"/>
        <v>158</v>
      </c>
      <c r="O803" s="42">
        <f t="shared" ca="1" si="62"/>
        <v>1</v>
      </c>
    </row>
    <row r="804" spans="11:15" x14ac:dyDescent="0.25">
      <c r="K804" s="15" t="s">
        <v>1553</v>
      </c>
      <c r="L804" s="16">
        <v>139</v>
      </c>
      <c r="M804" s="28">
        <f t="shared" ca="1" si="60"/>
        <v>138</v>
      </c>
      <c r="N804" s="28">
        <f t="shared" ca="1" si="61"/>
        <v>158</v>
      </c>
      <c r="O804" s="42">
        <f t="shared" ca="1" si="62"/>
        <v>1</v>
      </c>
    </row>
    <row r="805" spans="11:15" x14ac:dyDescent="0.25">
      <c r="K805" s="15" t="s">
        <v>1554</v>
      </c>
      <c r="L805" s="16">
        <v>146</v>
      </c>
      <c r="M805" s="28">
        <f t="shared" ca="1" si="60"/>
        <v>138</v>
      </c>
      <c r="N805" s="28">
        <f t="shared" ca="1" si="61"/>
        <v>158</v>
      </c>
      <c r="O805" s="42">
        <f t="shared" ca="1" si="62"/>
        <v>1</v>
      </c>
    </row>
    <row r="806" spans="11:15" x14ac:dyDescent="0.25">
      <c r="K806" s="15" t="s">
        <v>1555</v>
      </c>
      <c r="L806" s="16">
        <v>155</v>
      </c>
      <c r="M806" s="28">
        <f t="shared" ca="1" si="60"/>
        <v>138</v>
      </c>
      <c r="N806" s="28">
        <f t="shared" ca="1" si="61"/>
        <v>158</v>
      </c>
      <c r="O806" s="42">
        <f t="shared" ca="1" si="62"/>
        <v>1</v>
      </c>
    </row>
    <row r="807" spans="11:15" x14ac:dyDescent="0.25">
      <c r="K807" s="15" t="s">
        <v>1556</v>
      </c>
      <c r="L807" s="16">
        <v>137</v>
      </c>
      <c r="M807" s="28">
        <f t="shared" ca="1" si="60"/>
        <v>138</v>
      </c>
      <c r="N807" s="28">
        <f t="shared" ca="1" si="61"/>
        <v>158</v>
      </c>
      <c r="O807" s="42">
        <f t="shared" ca="1" si="62"/>
        <v>0</v>
      </c>
    </row>
    <row r="808" spans="11:15" x14ac:dyDescent="0.25">
      <c r="K808" s="15" t="s">
        <v>1557</v>
      </c>
      <c r="L808" s="16">
        <v>142</v>
      </c>
      <c r="M808" s="28">
        <f t="shared" ca="1" si="60"/>
        <v>138</v>
      </c>
      <c r="N808" s="28">
        <f t="shared" ca="1" si="61"/>
        <v>158</v>
      </c>
      <c r="O808" s="42">
        <f t="shared" ca="1" si="62"/>
        <v>1</v>
      </c>
    </row>
    <row r="809" spans="11:15" x14ac:dyDescent="0.25">
      <c r="K809" s="15" t="s">
        <v>1558</v>
      </c>
      <c r="L809" s="16">
        <v>147</v>
      </c>
      <c r="M809" s="28">
        <f t="shared" ca="1" si="60"/>
        <v>138</v>
      </c>
      <c r="N809" s="28">
        <f t="shared" ca="1" si="61"/>
        <v>158</v>
      </c>
      <c r="O809" s="42">
        <f t="shared" ca="1" si="62"/>
        <v>1</v>
      </c>
    </row>
    <row r="810" spans="11:15" x14ac:dyDescent="0.25">
      <c r="K810" s="15" t="s">
        <v>1559</v>
      </c>
      <c r="L810" s="16">
        <v>141</v>
      </c>
      <c r="M810" s="28">
        <f t="shared" ca="1" si="60"/>
        <v>138</v>
      </c>
      <c r="N810" s="28">
        <f t="shared" ca="1" si="61"/>
        <v>158</v>
      </c>
      <c r="O810" s="42">
        <f t="shared" ca="1" si="62"/>
        <v>1</v>
      </c>
    </row>
    <row r="811" spans="11:15" x14ac:dyDescent="0.25">
      <c r="K811" s="15" t="s">
        <v>1560</v>
      </c>
      <c r="L811" s="16">
        <v>146</v>
      </c>
      <c r="M811" s="28">
        <f t="shared" ca="1" si="60"/>
        <v>138</v>
      </c>
      <c r="N811" s="28">
        <f t="shared" ca="1" si="61"/>
        <v>158</v>
      </c>
      <c r="O811" s="42">
        <f t="shared" ca="1" si="62"/>
        <v>1</v>
      </c>
    </row>
    <row r="812" spans="11:15" x14ac:dyDescent="0.25">
      <c r="K812" s="15" t="s">
        <v>1561</v>
      </c>
      <c r="L812" s="16">
        <v>148</v>
      </c>
      <c r="M812" s="28">
        <f t="shared" ca="1" si="60"/>
        <v>138</v>
      </c>
      <c r="N812" s="28">
        <f t="shared" ca="1" si="61"/>
        <v>158</v>
      </c>
      <c r="O812" s="42">
        <f t="shared" ca="1" si="62"/>
        <v>1</v>
      </c>
    </row>
    <row r="813" spans="11:15" x14ac:dyDescent="0.25">
      <c r="K813" s="15" t="s">
        <v>1562</v>
      </c>
      <c r="L813" s="16">
        <v>146</v>
      </c>
      <c r="M813" s="28">
        <f t="shared" ca="1" si="60"/>
        <v>138</v>
      </c>
      <c r="N813" s="28">
        <f t="shared" ca="1" si="61"/>
        <v>158</v>
      </c>
      <c r="O813" s="42">
        <f t="shared" ca="1" si="62"/>
        <v>1</v>
      </c>
    </row>
    <row r="814" spans="11:15" x14ac:dyDescent="0.25">
      <c r="K814" s="15" t="s">
        <v>1563</v>
      </c>
      <c r="L814" s="16">
        <v>145</v>
      </c>
      <c r="M814" s="28">
        <f t="shared" ca="1" si="60"/>
        <v>138</v>
      </c>
      <c r="N814" s="28">
        <f t="shared" ca="1" si="61"/>
        <v>158</v>
      </c>
      <c r="O814" s="42">
        <f t="shared" ca="1" si="62"/>
        <v>1</v>
      </c>
    </row>
    <row r="815" spans="11:15" x14ac:dyDescent="0.25">
      <c r="K815" s="15" t="s">
        <v>1564</v>
      </c>
      <c r="L815" s="16">
        <v>154</v>
      </c>
      <c r="M815" s="28">
        <f t="shared" ca="1" si="60"/>
        <v>138</v>
      </c>
      <c r="N815" s="28">
        <f t="shared" ca="1" si="61"/>
        <v>158</v>
      </c>
      <c r="O815" s="42">
        <f t="shared" ca="1" si="62"/>
        <v>1</v>
      </c>
    </row>
    <row r="816" spans="11:15" x14ac:dyDescent="0.25">
      <c r="K816" s="15" t="s">
        <v>1565</v>
      </c>
      <c r="L816" s="16">
        <v>139</v>
      </c>
      <c r="M816" s="28">
        <f t="shared" ca="1" si="60"/>
        <v>138</v>
      </c>
      <c r="N816" s="28">
        <f t="shared" ca="1" si="61"/>
        <v>158</v>
      </c>
      <c r="O816" s="42">
        <f t="shared" ca="1" si="62"/>
        <v>1</v>
      </c>
    </row>
    <row r="817" spans="11:15" x14ac:dyDescent="0.25">
      <c r="K817" s="15" t="s">
        <v>1566</v>
      </c>
      <c r="L817" s="16">
        <v>146</v>
      </c>
      <c r="M817" s="28">
        <f t="shared" ca="1" si="60"/>
        <v>138</v>
      </c>
      <c r="N817" s="28">
        <f t="shared" ca="1" si="61"/>
        <v>158</v>
      </c>
      <c r="O817" s="42">
        <f t="shared" ca="1" si="62"/>
        <v>1</v>
      </c>
    </row>
    <row r="818" spans="11:15" x14ac:dyDescent="0.25">
      <c r="K818" s="15" t="s">
        <v>1567</v>
      </c>
      <c r="L818" s="16">
        <v>145</v>
      </c>
      <c r="M818" s="28">
        <f t="shared" ca="1" si="60"/>
        <v>138</v>
      </c>
      <c r="N818" s="28">
        <f t="shared" ca="1" si="61"/>
        <v>158</v>
      </c>
      <c r="O818" s="42">
        <f t="shared" ca="1" si="62"/>
        <v>1</v>
      </c>
    </row>
    <row r="819" spans="11:15" x14ac:dyDescent="0.25">
      <c r="K819" s="15" t="s">
        <v>1568</v>
      </c>
      <c r="L819" s="16">
        <v>151</v>
      </c>
      <c r="M819" s="28">
        <f t="shared" ca="1" si="60"/>
        <v>138</v>
      </c>
      <c r="N819" s="28">
        <f t="shared" ca="1" si="61"/>
        <v>158</v>
      </c>
      <c r="O819" s="42">
        <f t="shared" ca="1" si="62"/>
        <v>1</v>
      </c>
    </row>
    <row r="820" spans="11:15" x14ac:dyDescent="0.25">
      <c r="K820" s="15" t="s">
        <v>1569</v>
      </c>
      <c r="L820" s="16">
        <v>148</v>
      </c>
      <c r="M820" s="28">
        <f t="shared" ca="1" si="60"/>
        <v>138</v>
      </c>
      <c r="N820" s="28">
        <f t="shared" ca="1" si="61"/>
        <v>158</v>
      </c>
      <c r="O820" s="42">
        <f t="shared" ca="1" si="62"/>
        <v>1</v>
      </c>
    </row>
    <row r="821" spans="11:15" x14ac:dyDescent="0.25">
      <c r="K821" s="15" t="s">
        <v>1570</v>
      </c>
      <c r="L821" s="16">
        <v>142</v>
      </c>
      <c r="M821" s="28">
        <f t="shared" ca="1" si="60"/>
        <v>138</v>
      </c>
      <c r="N821" s="28">
        <f t="shared" ca="1" si="61"/>
        <v>158</v>
      </c>
      <c r="O821" s="42">
        <f t="shared" ca="1" si="62"/>
        <v>1</v>
      </c>
    </row>
    <row r="822" spans="11:15" x14ac:dyDescent="0.25">
      <c r="K822" s="15" t="s">
        <v>1571</v>
      </c>
      <c r="L822" s="16">
        <v>144</v>
      </c>
      <c r="M822" s="28">
        <f t="shared" ca="1" si="60"/>
        <v>138</v>
      </c>
      <c r="N822" s="28">
        <f t="shared" ca="1" si="61"/>
        <v>158</v>
      </c>
      <c r="O822" s="42">
        <f t="shared" ca="1" si="62"/>
        <v>1</v>
      </c>
    </row>
    <row r="823" spans="11:15" x14ac:dyDescent="0.25">
      <c r="K823" s="15" t="s">
        <v>1572</v>
      </c>
      <c r="L823" s="16">
        <v>154</v>
      </c>
      <c r="M823" s="28">
        <f t="shared" ca="1" si="60"/>
        <v>138</v>
      </c>
      <c r="N823" s="28">
        <f t="shared" ca="1" si="61"/>
        <v>158</v>
      </c>
      <c r="O823" s="42">
        <f t="shared" ca="1" si="62"/>
        <v>1</v>
      </c>
    </row>
    <row r="824" spans="11:15" x14ac:dyDescent="0.25">
      <c r="K824" s="15" t="s">
        <v>1573</v>
      </c>
      <c r="L824" s="16">
        <v>160</v>
      </c>
      <c r="M824" s="28">
        <f t="shared" ca="1" si="60"/>
        <v>138</v>
      </c>
      <c r="N824" s="28">
        <f t="shared" ca="1" si="61"/>
        <v>158</v>
      </c>
      <c r="O824" s="42">
        <f t="shared" ca="1" si="62"/>
        <v>0</v>
      </c>
    </row>
    <row r="825" spans="11:15" x14ac:dyDescent="0.25">
      <c r="K825" s="15" t="s">
        <v>1574</v>
      </c>
      <c r="L825" s="16">
        <v>158</v>
      </c>
      <c r="M825" s="28">
        <f t="shared" ca="1" si="60"/>
        <v>138</v>
      </c>
      <c r="N825" s="28">
        <f t="shared" ca="1" si="61"/>
        <v>158</v>
      </c>
      <c r="O825" s="42">
        <f t="shared" ca="1" si="62"/>
        <v>1</v>
      </c>
    </row>
    <row r="826" spans="11:15" x14ac:dyDescent="0.25">
      <c r="K826" s="15" t="s">
        <v>1575</v>
      </c>
      <c r="L826" s="16">
        <v>149</v>
      </c>
      <c r="M826" s="28">
        <f t="shared" ca="1" si="60"/>
        <v>138</v>
      </c>
      <c r="N826" s="28">
        <f t="shared" ca="1" si="61"/>
        <v>158</v>
      </c>
      <c r="O826" s="42">
        <f t="shared" ca="1" si="62"/>
        <v>1</v>
      </c>
    </row>
    <row r="827" spans="11:15" x14ac:dyDescent="0.25">
      <c r="K827" s="15" t="s">
        <v>1576</v>
      </c>
      <c r="L827" s="16">
        <v>145</v>
      </c>
      <c r="M827" s="28">
        <f t="shared" ca="1" si="60"/>
        <v>138</v>
      </c>
      <c r="N827" s="28">
        <f t="shared" ca="1" si="61"/>
        <v>158</v>
      </c>
      <c r="O827" s="42">
        <f t="shared" ca="1" si="62"/>
        <v>1</v>
      </c>
    </row>
    <row r="828" spans="11:15" x14ac:dyDescent="0.25">
      <c r="K828" s="15" t="s">
        <v>1577</v>
      </c>
      <c r="L828" s="16">
        <v>156</v>
      </c>
      <c r="M828" s="28">
        <f t="shared" ca="1" si="60"/>
        <v>138</v>
      </c>
      <c r="N828" s="28">
        <f t="shared" ca="1" si="61"/>
        <v>158</v>
      </c>
      <c r="O828" s="42">
        <f t="shared" ca="1" si="62"/>
        <v>1</v>
      </c>
    </row>
    <row r="829" spans="11:15" x14ac:dyDescent="0.25">
      <c r="K829" s="15" t="s">
        <v>1578</v>
      </c>
      <c r="L829" s="16">
        <v>136</v>
      </c>
      <c r="M829" s="28">
        <f t="shared" ca="1" si="60"/>
        <v>138</v>
      </c>
      <c r="N829" s="28">
        <f t="shared" ca="1" si="61"/>
        <v>158</v>
      </c>
      <c r="O829" s="42">
        <f t="shared" ca="1" si="62"/>
        <v>0</v>
      </c>
    </row>
    <row r="830" spans="11:15" x14ac:dyDescent="0.25">
      <c r="K830" s="15" t="s">
        <v>1579</v>
      </c>
      <c r="L830" s="16">
        <v>146</v>
      </c>
      <c r="M830" s="28">
        <f t="shared" ca="1" si="60"/>
        <v>138</v>
      </c>
      <c r="N830" s="28">
        <f t="shared" ca="1" si="61"/>
        <v>158</v>
      </c>
      <c r="O830" s="42">
        <f t="shared" ca="1" si="62"/>
        <v>1</v>
      </c>
    </row>
    <row r="831" spans="11:15" x14ac:dyDescent="0.25">
      <c r="K831" s="15" t="s">
        <v>1580</v>
      </c>
      <c r="L831" s="16">
        <v>148</v>
      </c>
      <c r="M831" s="28">
        <f t="shared" ca="1" si="60"/>
        <v>138</v>
      </c>
      <c r="N831" s="28">
        <f t="shared" ca="1" si="61"/>
        <v>158</v>
      </c>
      <c r="O831" s="42">
        <f t="shared" ca="1" si="62"/>
        <v>1</v>
      </c>
    </row>
    <row r="832" spans="11:15" x14ac:dyDescent="0.25">
      <c r="K832" s="15" t="s">
        <v>1581</v>
      </c>
      <c r="L832" s="16">
        <v>156</v>
      </c>
      <c r="M832" s="28">
        <f t="shared" ca="1" si="60"/>
        <v>138</v>
      </c>
      <c r="N832" s="28">
        <f t="shared" ca="1" si="61"/>
        <v>158</v>
      </c>
      <c r="O832" s="42">
        <f t="shared" ca="1" si="62"/>
        <v>1</v>
      </c>
    </row>
    <row r="833" spans="11:15" x14ac:dyDescent="0.25">
      <c r="K833" s="15" t="s">
        <v>1582</v>
      </c>
      <c r="L833" s="16">
        <v>156</v>
      </c>
      <c r="M833" s="28">
        <f t="shared" ca="1" si="60"/>
        <v>138</v>
      </c>
      <c r="N833" s="28">
        <f t="shared" ca="1" si="61"/>
        <v>158</v>
      </c>
      <c r="O833" s="42">
        <f t="shared" ca="1" si="62"/>
        <v>1</v>
      </c>
    </row>
    <row r="834" spans="11:15" x14ac:dyDescent="0.25">
      <c r="K834" s="15" t="s">
        <v>1583</v>
      </c>
      <c r="L834" s="16">
        <v>134</v>
      </c>
      <c r="M834" s="28">
        <f t="shared" ca="1" si="60"/>
        <v>138</v>
      </c>
      <c r="N834" s="28">
        <f t="shared" ca="1" si="61"/>
        <v>158</v>
      </c>
      <c r="O834" s="42">
        <f t="shared" ca="1" si="62"/>
        <v>0</v>
      </c>
    </row>
    <row r="835" spans="11:15" x14ac:dyDescent="0.25">
      <c r="K835" s="15" t="s">
        <v>1584</v>
      </c>
      <c r="L835" s="16">
        <v>139</v>
      </c>
      <c r="M835" s="28">
        <f t="shared" ca="1" si="60"/>
        <v>138</v>
      </c>
      <c r="N835" s="28">
        <f t="shared" ca="1" si="61"/>
        <v>158</v>
      </c>
      <c r="O835" s="42">
        <f t="shared" ca="1" si="62"/>
        <v>1</v>
      </c>
    </row>
    <row r="836" spans="11:15" x14ac:dyDescent="0.25">
      <c r="K836" s="15" t="s">
        <v>1585</v>
      </c>
      <c r="L836" s="16">
        <v>156</v>
      </c>
      <c r="M836" s="28">
        <f t="shared" ca="1" si="60"/>
        <v>138</v>
      </c>
      <c r="N836" s="28">
        <f t="shared" ca="1" si="61"/>
        <v>158</v>
      </c>
      <c r="O836" s="42">
        <f t="shared" ca="1" si="62"/>
        <v>1</v>
      </c>
    </row>
    <row r="837" spans="11:15" x14ac:dyDescent="0.25">
      <c r="K837" s="15" t="s">
        <v>1586</v>
      </c>
      <c r="L837" s="16">
        <v>145</v>
      </c>
      <c r="M837" s="28">
        <f t="shared" ca="1" si="60"/>
        <v>138</v>
      </c>
      <c r="N837" s="28">
        <f t="shared" ca="1" si="61"/>
        <v>158</v>
      </c>
      <c r="O837" s="42">
        <f t="shared" ca="1" si="62"/>
        <v>1</v>
      </c>
    </row>
    <row r="838" spans="11:15" x14ac:dyDescent="0.25">
      <c r="K838" s="15" t="s">
        <v>1587</v>
      </c>
      <c r="L838" s="16">
        <v>159</v>
      </c>
      <c r="M838" s="28">
        <f t="shared" ca="1" si="60"/>
        <v>138</v>
      </c>
      <c r="N838" s="28">
        <f t="shared" ca="1" si="61"/>
        <v>158</v>
      </c>
      <c r="O838" s="42">
        <f t="shared" ca="1" si="62"/>
        <v>0</v>
      </c>
    </row>
    <row r="839" spans="11:15" x14ac:dyDescent="0.25">
      <c r="K839" s="15" t="s">
        <v>1588</v>
      </c>
      <c r="L839" s="16">
        <v>152</v>
      </c>
      <c r="M839" s="28">
        <f t="shared" ca="1" si="60"/>
        <v>138</v>
      </c>
      <c r="N839" s="28">
        <f t="shared" ca="1" si="61"/>
        <v>158</v>
      </c>
      <c r="O839" s="42">
        <f t="shared" ca="1" si="62"/>
        <v>1</v>
      </c>
    </row>
    <row r="840" spans="11:15" x14ac:dyDescent="0.25">
      <c r="K840" s="15" t="s">
        <v>1589</v>
      </c>
      <c r="L840" s="16">
        <v>145</v>
      </c>
      <c r="M840" s="28">
        <f t="shared" ca="1" si="60"/>
        <v>138</v>
      </c>
      <c r="N840" s="28">
        <f t="shared" ca="1" si="61"/>
        <v>158</v>
      </c>
      <c r="O840" s="42">
        <f t="shared" ca="1" si="62"/>
        <v>1</v>
      </c>
    </row>
    <row r="841" spans="11:15" x14ac:dyDescent="0.25">
      <c r="K841" s="15" t="s">
        <v>1590</v>
      </c>
      <c r="L841" s="16">
        <v>154</v>
      </c>
      <c r="M841" s="28">
        <f t="shared" ca="1" si="60"/>
        <v>138</v>
      </c>
      <c r="N841" s="28">
        <f t="shared" ca="1" si="61"/>
        <v>158</v>
      </c>
      <c r="O841" s="42">
        <f t="shared" ca="1" si="62"/>
        <v>1</v>
      </c>
    </row>
    <row r="842" spans="11:15" x14ac:dyDescent="0.25">
      <c r="K842" s="15" t="s">
        <v>1591</v>
      </c>
      <c r="L842" s="16">
        <v>150</v>
      </c>
      <c r="M842" s="28">
        <f t="shared" ca="1" si="60"/>
        <v>138</v>
      </c>
      <c r="N842" s="28">
        <f t="shared" ca="1" si="61"/>
        <v>158</v>
      </c>
      <c r="O842" s="42">
        <f t="shared" ca="1" si="62"/>
        <v>1</v>
      </c>
    </row>
    <row r="843" spans="11:15" x14ac:dyDescent="0.25">
      <c r="K843" s="15" t="s">
        <v>1592</v>
      </c>
      <c r="L843" s="16">
        <v>148</v>
      </c>
      <c r="M843" s="28">
        <f t="shared" ref="M843:M906" ca="1" si="63">$I$14-epsilon</f>
        <v>138</v>
      </c>
      <c r="N843" s="28">
        <f t="shared" ref="N843:N906" ca="1" si="64">$I$14+epsilon</f>
        <v>158</v>
      </c>
      <c r="O843" s="42">
        <f t="shared" ca="1" si="62"/>
        <v>1</v>
      </c>
    </row>
    <row r="844" spans="11:15" x14ac:dyDescent="0.25">
      <c r="K844" s="15" t="s">
        <v>1593</v>
      </c>
      <c r="L844" s="16">
        <v>140</v>
      </c>
      <c r="M844" s="28">
        <f t="shared" ca="1" si="63"/>
        <v>138</v>
      </c>
      <c r="N844" s="28">
        <f t="shared" ca="1" si="64"/>
        <v>158</v>
      </c>
      <c r="O844" s="42">
        <f t="shared" ca="1" si="62"/>
        <v>1</v>
      </c>
    </row>
    <row r="845" spans="11:15" x14ac:dyDescent="0.25">
      <c r="K845" s="15" t="s">
        <v>1594</v>
      </c>
      <c r="L845" s="16">
        <v>144</v>
      </c>
      <c r="M845" s="28">
        <f t="shared" ca="1" si="63"/>
        <v>138</v>
      </c>
      <c r="N845" s="28">
        <f t="shared" ca="1" si="64"/>
        <v>158</v>
      </c>
      <c r="O845" s="42">
        <f t="shared" ref="O845:O908" ca="1" si="65">IF(AND(L845&gt;=M845,L845&lt;=N845),1,0)</f>
        <v>1</v>
      </c>
    </row>
    <row r="846" spans="11:15" x14ac:dyDescent="0.25">
      <c r="K846" s="15" t="s">
        <v>1595</v>
      </c>
      <c r="L846" s="16">
        <v>159</v>
      </c>
      <c r="M846" s="28">
        <f t="shared" ca="1" si="63"/>
        <v>138</v>
      </c>
      <c r="N846" s="28">
        <f t="shared" ca="1" si="64"/>
        <v>158</v>
      </c>
      <c r="O846" s="42">
        <f t="shared" ca="1" si="65"/>
        <v>0</v>
      </c>
    </row>
    <row r="847" spans="11:15" x14ac:dyDescent="0.25">
      <c r="K847" s="15" t="s">
        <v>1596</v>
      </c>
      <c r="L847" s="16">
        <v>156</v>
      </c>
      <c r="M847" s="28">
        <f t="shared" ca="1" si="63"/>
        <v>138</v>
      </c>
      <c r="N847" s="28">
        <f t="shared" ca="1" si="64"/>
        <v>158</v>
      </c>
      <c r="O847" s="42">
        <f t="shared" ca="1" si="65"/>
        <v>1</v>
      </c>
    </row>
    <row r="848" spans="11:15" x14ac:dyDescent="0.25">
      <c r="K848" s="15" t="s">
        <v>1597</v>
      </c>
      <c r="L848" s="16">
        <v>138</v>
      </c>
      <c r="M848" s="28">
        <f t="shared" ca="1" si="63"/>
        <v>138</v>
      </c>
      <c r="N848" s="28">
        <f t="shared" ca="1" si="64"/>
        <v>158</v>
      </c>
      <c r="O848" s="42">
        <f t="shared" ca="1" si="65"/>
        <v>1</v>
      </c>
    </row>
    <row r="849" spans="11:15" x14ac:dyDescent="0.25">
      <c r="K849" s="15" t="s">
        <v>1598</v>
      </c>
      <c r="L849" s="16">
        <v>145</v>
      </c>
      <c r="M849" s="28">
        <f t="shared" ca="1" si="63"/>
        <v>138</v>
      </c>
      <c r="N849" s="28">
        <f t="shared" ca="1" si="64"/>
        <v>158</v>
      </c>
      <c r="O849" s="42">
        <f t="shared" ca="1" si="65"/>
        <v>1</v>
      </c>
    </row>
    <row r="850" spans="11:15" x14ac:dyDescent="0.25">
      <c r="K850" s="15" t="s">
        <v>1599</v>
      </c>
      <c r="L850" s="16">
        <v>150</v>
      </c>
      <c r="M850" s="28">
        <f t="shared" ca="1" si="63"/>
        <v>138</v>
      </c>
      <c r="N850" s="28">
        <f t="shared" ca="1" si="64"/>
        <v>158</v>
      </c>
      <c r="O850" s="42">
        <f t="shared" ca="1" si="65"/>
        <v>1</v>
      </c>
    </row>
    <row r="851" spans="11:15" x14ac:dyDescent="0.25">
      <c r="K851" s="15" t="s">
        <v>1600</v>
      </c>
      <c r="L851" s="16">
        <v>154</v>
      </c>
      <c r="M851" s="28">
        <f t="shared" ca="1" si="63"/>
        <v>138</v>
      </c>
      <c r="N851" s="28">
        <f t="shared" ca="1" si="64"/>
        <v>158</v>
      </c>
      <c r="O851" s="42">
        <f t="shared" ca="1" si="65"/>
        <v>1</v>
      </c>
    </row>
    <row r="852" spans="11:15" x14ac:dyDescent="0.25">
      <c r="K852" s="15" t="s">
        <v>1601</v>
      </c>
      <c r="L852" s="16">
        <v>142</v>
      </c>
      <c r="M852" s="28">
        <f t="shared" ca="1" si="63"/>
        <v>138</v>
      </c>
      <c r="N852" s="28">
        <f t="shared" ca="1" si="64"/>
        <v>158</v>
      </c>
      <c r="O852" s="42">
        <f t="shared" ca="1" si="65"/>
        <v>1</v>
      </c>
    </row>
    <row r="853" spans="11:15" x14ac:dyDescent="0.25">
      <c r="K853" s="15" t="s">
        <v>1</v>
      </c>
      <c r="L853" s="16">
        <v>151</v>
      </c>
      <c r="M853" s="28">
        <f t="shared" ca="1" si="63"/>
        <v>138</v>
      </c>
      <c r="N853" s="28">
        <f t="shared" ca="1" si="64"/>
        <v>158</v>
      </c>
      <c r="O853" s="42">
        <f t="shared" ca="1" si="65"/>
        <v>1</v>
      </c>
    </row>
    <row r="854" spans="11:15" x14ac:dyDescent="0.25">
      <c r="K854" s="15" t="s">
        <v>2</v>
      </c>
      <c r="L854" s="16">
        <v>147</v>
      </c>
      <c r="M854" s="28">
        <f t="shared" ca="1" si="63"/>
        <v>138</v>
      </c>
      <c r="N854" s="28">
        <f t="shared" ca="1" si="64"/>
        <v>158</v>
      </c>
      <c r="O854" s="42">
        <f t="shared" ca="1" si="65"/>
        <v>1</v>
      </c>
    </row>
    <row r="855" spans="11:15" x14ac:dyDescent="0.25">
      <c r="K855" s="15" t="s">
        <v>3</v>
      </c>
      <c r="L855" s="16">
        <v>141</v>
      </c>
      <c r="M855" s="28">
        <f t="shared" ca="1" si="63"/>
        <v>138</v>
      </c>
      <c r="N855" s="28">
        <f t="shared" ca="1" si="64"/>
        <v>158</v>
      </c>
      <c r="O855" s="42">
        <f t="shared" ca="1" si="65"/>
        <v>1</v>
      </c>
    </row>
    <row r="856" spans="11:15" x14ac:dyDescent="0.25">
      <c r="K856" s="15" t="s">
        <v>4</v>
      </c>
      <c r="L856" s="16">
        <v>138</v>
      </c>
      <c r="M856" s="28">
        <f t="shared" ca="1" si="63"/>
        <v>138</v>
      </c>
      <c r="N856" s="28">
        <f t="shared" ca="1" si="64"/>
        <v>158</v>
      </c>
      <c r="O856" s="42">
        <f t="shared" ca="1" si="65"/>
        <v>1</v>
      </c>
    </row>
    <row r="857" spans="11:15" x14ac:dyDescent="0.25">
      <c r="K857" s="15" t="s">
        <v>5</v>
      </c>
      <c r="L857" s="16">
        <v>138</v>
      </c>
      <c r="M857" s="28">
        <f t="shared" ca="1" si="63"/>
        <v>138</v>
      </c>
      <c r="N857" s="28">
        <f t="shared" ca="1" si="64"/>
        <v>158</v>
      </c>
      <c r="O857" s="42">
        <f t="shared" ca="1" si="65"/>
        <v>1</v>
      </c>
    </row>
    <row r="858" spans="11:15" x14ac:dyDescent="0.25">
      <c r="K858" s="15" t="s">
        <v>6</v>
      </c>
      <c r="L858" s="16">
        <v>127</v>
      </c>
      <c r="M858" s="28">
        <f t="shared" ca="1" si="63"/>
        <v>138</v>
      </c>
      <c r="N858" s="28">
        <f t="shared" ca="1" si="64"/>
        <v>158</v>
      </c>
      <c r="O858" s="42">
        <f t="shared" ca="1" si="65"/>
        <v>0</v>
      </c>
    </row>
    <row r="859" spans="11:15" x14ac:dyDescent="0.25">
      <c r="K859" s="15" t="s">
        <v>7</v>
      </c>
      <c r="L859" s="16">
        <v>150</v>
      </c>
      <c r="M859" s="28">
        <f t="shared" ca="1" si="63"/>
        <v>138</v>
      </c>
      <c r="N859" s="28">
        <f t="shared" ca="1" si="64"/>
        <v>158</v>
      </c>
      <c r="O859" s="42">
        <f t="shared" ca="1" si="65"/>
        <v>1</v>
      </c>
    </row>
    <row r="860" spans="11:15" x14ac:dyDescent="0.25">
      <c r="K860" s="15" t="s">
        <v>8</v>
      </c>
      <c r="L860" s="16">
        <v>148</v>
      </c>
      <c r="M860" s="28">
        <f t="shared" ca="1" si="63"/>
        <v>138</v>
      </c>
      <c r="N860" s="28">
        <f t="shared" ca="1" si="64"/>
        <v>158</v>
      </c>
      <c r="O860" s="42">
        <f t="shared" ca="1" si="65"/>
        <v>1</v>
      </c>
    </row>
    <row r="861" spans="11:15" x14ac:dyDescent="0.25">
      <c r="K861" s="15" t="s">
        <v>9</v>
      </c>
      <c r="L861" s="16">
        <v>154</v>
      </c>
      <c r="M861" s="28">
        <f t="shared" ca="1" si="63"/>
        <v>138</v>
      </c>
      <c r="N861" s="28">
        <f t="shared" ca="1" si="64"/>
        <v>158</v>
      </c>
      <c r="O861" s="42">
        <f t="shared" ca="1" si="65"/>
        <v>1</v>
      </c>
    </row>
    <row r="862" spans="11:15" x14ac:dyDescent="0.25">
      <c r="K862" s="15" t="s">
        <v>10</v>
      </c>
      <c r="L862" s="16">
        <v>155</v>
      </c>
      <c r="M862" s="28">
        <f t="shared" ca="1" si="63"/>
        <v>138</v>
      </c>
      <c r="N862" s="28">
        <f t="shared" ca="1" si="64"/>
        <v>158</v>
      </c>
      <c r="O862" s="42">
        <f t="shared" ca="1" si="65"/>
        <v>1</v>
      </c>
    </row>
    <row r="863" spans="11:15" x14ac:dyDescent="0.25">
      <c r="K863" s="15" t="s">
        <v>11</v>
      </c>
      <c r="L863" s="16">
        <v>146</v>
      </c>
      <c r="M863" s="28">
        <f t="shared" ca="1" si="63"/>
        <v>138</v>
      </c>
      <c r="N863" s="28">
        <f t="shared" ca="1" si="64"/>
        <v>158</v>
      </c>
      <c r="O863" s="42">
        <f t="shared" ca="1" si="65"/>
        <v>1</v>
      </c>
    </row>
    <row r="864" spans="11:15" x14ac:dyDescent="0.25">
      <c r="K864" s="15" t="s">
        <v>12</v>
      </c>
      <c r="L864" s="16">
        <v>162</v>
      </c>
      <c r="M864" s="28">
        <f t="shared" ca="1" si="63"/>
        <v>138</v>
      </c>
      <c r="N864" s="28">
        <f t="shared" ca="1" si="64"/>
        <v>158</v>
      </c>
      <c r="O864" s="42">
        <f t="shared" ca="1" si="65"/>
        <v>0</v>
      </c>
    </row>
    <row r="865" spans="11:15" x14ac:dyDescent="0.25">
      <c r="K865" s="15" t="s">
        <v>13</v>
      </c>
      <c r="L865" s="16">
        <v>151</v>
      </c>
      <c r="M865" s="28">
        <f t="shared" ca="1" si="63"/>
        <v>138</v>
      </c>
      <c r="N865" s="28">
        <f t="shared" ca="1" si="64"/>
        <v>158</v>
      </c>
      <c r="O865" s="42">
        <f t="shared" ca="1" si="65"/>
        <v>1</v>
      </c>
    </row>
    <row r="866" spans="11:15" x14ac:dyDescent="0.25">
      <c r="K866" s="15" t="s">
        <v>14</v>
      </c>
      <c r="L866" s="16">
        <v>145</v>
      </c>
      <c r="M866" s="28">
        <f t="shared" ca="1" si="63"/>
        <v>138</v>
      </c>
      <c r="N866" s="28">
        <f t="shared" ca="1" si="64"/>
        <v>158</v>
      </c>
      <c r="O866" s="42">
        <f t="shared" ca="1" si="65"/>
        <v>1</v>
      </c>
    </row>
    <row r="867" spans="11:15" x14ac:dyDescent="0.25">
      <c r="K867" s="15" t="s">
        <v>15</v>
      </c>
      <c r="L867" s="16">
        <v>159</v>
      </c>
      <c r="M867" s="28">
        <f t="shared" ca="1" si="63"/>
        <v>138</v>
      </c>
      <c r="N867" s="28">
        <f t="shared" ca="1" si="64"/>
        <v>158</v>
      </c>
      <c r="O867" s="42">
        <f t="shared" ca="1" si="65"/>
        <v>0</v>
      </c>
    </row>
    <row r="868" spans="11:15" x14ac:dyDescent="0.25">
      <c r="K868" s="15" t="s">
        <v>16</v>
      </c>
      <c r="L868" s="16">
        <v>163</v>
      </c>
      <c r="M868" s="28">
        <f t="shared" ca="1" si="63"/>
        <v>138</v>
      </c>
      <c r="N868" s="28">
        <f t="shared" ca="1" si="64"/>
        <v>158</v>
      </c>
      <c r="O868" s="42">
        <f t="shared" ca="1" si="65"/>
        <v>0</v>
      </c>
    </row>
    <row r="869" spans="11:15" x14ac:dyDescent="0.25">
      <c r="K869" s="15" t="s">
        <v>17</v>
      </c>
      <c r="L869" s="16">
        <v>142</v>
      </c>
      <c r="M869" s="28">
        <f t="shared" ca="1" si="63"/>
        <v>138</v>
      </c>
      <c r="N869" s="28">
        <f t="shared" ca="1" si="64"/>
        <v>158</v>
      </c>
      <c r="O869" s="42">
        <f t="shared" ca="1" si="65"/>
        <v>1</v>
      </c>
    </row>
    <row r="870" spans="11:15" x14ac:dyDescent="0.25">
      <c r="K870" s="15" t="s">
        <v>18</v>
      </c>
      <c r="L870" s="16">
        <v>153</v>
      </c>
      <c r="M870" s="28">
        <f t="shared" ca="1" si="63"/>
        <v>138</v>
      </c>
      <c r="N870" s="28">
        <f t="shared" ca="1" si="64"/>
        <v>158</v>
      </c>
      <c r="O870" s="42">
        <f t="shared" ca="1" si="65"/>
        <v>1</v>
      </c>
    </row>
    <row r="871" spans="11:15" x14ac:dyDescent="0.25">
      <c r="K871" s="15" t="s">
        <v>19</v>
      </c>
      <c r="L871" s="16">
        <v>147</v>
      </c>
      <c r="M871" s="28">
        <f t="shared" ca="1" si="63"/>
        <v>138</v>
      </c>
      <c r="N871" s="28">
        <f t="shared" ca="1" si="64"/>
        <v>158</v>
      </c>
      <c r="O871" s="42">
        <f t="shared" ca="1" si="65"/>
        <v>1</v>
      </c>
    </row>
    <row r="872" spans="11:15" x14ac:dyDescent="0.25">
      <c r="K872" s="15" t="s">
        <v>20</v>
      </c>
      <c r="L872" s="16">
        <v>144</v>
      </c>
      <c r="M872" s="28">
        <f t="shared" ca="1" si="63"/>
        <v>138</v>
      </c>
      <c r="N872" s="28">
        <f t="shared" ca="1" si="64"/>
        <v>158</v>
      </c>
      <c r="O872" s="42">
        <f t="shared" ca="1" si="65"/>
        <v>1</v>
      </c>
    </row>
    <row r="873" spans="11:15" x14ac:dyDescent="0.25">
      <c r="K873" s="15" t="s">
        <v>21</v>
      </c>
      <c r="L873" s="16">
        <v>161</v>
      </c>
      <c r="M873" s="28">
        <f t="shared" ca="1" si="63"/>
        <v>138</v>
      </c>
      <c r="N873" s="28">
        <f t="shared" ca="1" si="64"/>
        <v>158</v>
      </c>
      <c r="O873" s="42">
        <f t="shared" ca="1" si="65"/>
        <v>0</v>
      </c>
    </row>
    <row r="874" spans="11:15" x14ac:dyDescent="0.25">
      <c r="K874" s="15" t="s">
        <v>22</v>
      </c>
      <c r="L874" s="16">
        <v>144</v>
      </c>
      <c r="M874" s="28">
        <f t="shared" ca="1" si="63"/>
        <v>138</v>
      </c>
      <c r="N874" s="28">
        <f t="shared" ca="1" si="64"/>
        <v>158</v>
      </c>
      <c r="O874" s="42">
        <f t="shared" ca="1" si="65"/>
        <v>1</v>
      </c>
    </row>
    <row r="875" spans="11:15" x14ac:dyDescent="0.25">
      <c r="K875" s="15" t="s">
        <v>23</v>
      </c>
      <c r="L875" s="16">
        <v>155</v>
      </c>
      <c r="M875" s="28">
        <f t="shared" ca="1" si="63"/>
        <v>138</v>
      </c>
      <c r="N875" s="28">
        <f t="shared" ca="1" si="64"/>
        <v>158</v>
      </c>
      <c r="O875" s="42">
        <f t="shared" ca="1" si="65"/>
        <v>1</v>
      </c>
    </row>
    <row r="876" spans="11:15" x14ac:dyDescent="0.25">
      <c r="K876" s="15" t="s">
        <v>24</v>
      </c>
      <c r="L876" s="16">
        <v>148</v>
      </c>
      <c r="M876" s="28">
        <f t="shared" ca="1" si="63"/>
        <v>138</v>
      </c>
      <c r="N876" s="28">
        <f t="shared" ca="1" si="64"/>
        <v>158</v>
      </c>
      <c r="O876" s="42">
        <f t="shared" ca="1" si="65"/>
        <v>1</v>
      </c>
    </row>
    <row r="877" spans="11:15" x14ac:dyDescent="0.25">
      <c r="K877" s="15" t="s">
        <v>25</v>
      </c>
      <c r="L877" s="16">
        <v>142</v>
      </c>
      <c r="M877" s="28">
        <f t="shared" ca="1" si="63"/>
        <v>138</v>
      </c>
      <c r="N877" s="28">
        <f t="shared" ca="1" si="64"/>
        <v>158</v>
      </c>
      <c r="O877" s="42">
        <f t="shared" ca="1" si="65"/>
        <v>1</v>
      </c>
    </row>
    <row r="878" spans="11:15" x14ac:dyDescent="0.25">
      <c r="K878" s="15" t="s">
        <v>26</v>
      </c>
      <c r="L878" s="16">
        <v>133</v>
      </c>
      <c r="M878" s="28">
        <f t="shared" ca="1" si="63"/>
        <v>138</v>
      </c>
      <c r="N878" s="28">
        <f t="shared" ca="1" si="64"/>
        <v>158</v>
      </c>
      <c r="O878" s="42">
        <f t="shared" ca="1" si="65"/>
        <v>0</v>
      </c>
    </row>
    <row r="879" spans="11:15" x14ac:dyDescent="0.25">
      <c r="K879" s="15" t="s">
        <v>27</v>
      </c>
      <c r="L879" s="16">
        <v>158</v>
      </c>
      <c r="M879" s="28">
        <f t="shared" ca="1" si="63"/>
        <v>138</v>
      </c>
      <c r="N879" s="28">
        <f t="shared" ca="1" si="64"/>
        <v>158</v>
      </c>
      <c r="O879" s="42">
        <f t="shared" ca="1" si="65"/>
        <v>1</v>
      </c>
    </row>
    <row r="880" spans="11:15" x14ac:dyDescent="0.25">
      <c r="K880" s="15" t="s">
        <v>28</v>
      </c>
      <c r="L880" s="16">
        <v>148</v>
      </c>
      <c r="M880" s="28">
        <f t="shared" ca="1" si="63"/>
        <v>138</v>
      </c>
      <c r="N880" s="28">
        <f t="shared" ca="1" si="64"/>
        <v>158</v>
      </c>
      <c r="O880" s="42">
        <f t="shared" ca="1" si="65"/>
        <v>1</v>
      </c>
    </row>
    <row r="881" spans="11:15" x14ac:dyDescent="0.25">
      <c r="K881" s="15" t="s">
        <v>29</v>
      </c>
      <c r="L881" s="16">
        <v>168</v>
      </c>
      <c r="M881" s="28">
        <f t="shared" ca="1" si="63"/>
        <v>138</v>
      </c>
      <c r="N881" s="28">
        <f t="shared" ca="1" si="64"/>
        <v>158</v>
      </c>
      <c r="O881" s="42">
        <f t="shared" ca="1" si="65"/>
        <v>0</v>
      </c>
    </row>
    <row r="882" spans="11:15" x14ac:dyDescent="0.25">
      <c r="K882" s="15" t="s">
        <v>30</v>
      </c>
      <c r="L882" s="16">
        <v>152</v>
      </c>
      <c r="M882" s="28">
        <f t="shared" ca="1" si="63"/>
        <v>138</v>
      </c>
      <c r="N882" s="28">
        <f t="shared" ca="1" si="64"/>
        <v>158</v>
      </c>
      <c r="O882" s="42">
        <f t="shared" ca="1" si="65"/>
        <v>1</v>
      </c>
    </row>
    <row r="883" spans="11:15" x14ac:dyDescent="0.25">
      <c r="K883" s="15" t="s">
        <v>31</v>
      </c>
      <c r="L883" s="16">
        <v>151</v>
      </c>
      <c r="M883" s="28">
        <f t="shared" ca="1" si="63"/>
        <v>138</v>
      </c>
      <c r="N883" s="28">
        <f t="shared" ca="1" si="64"/>
        <v>158</v>
      </c>
      <c r="O883" s="42">
        <f t="shared" ca="1" si="65"/>
        <v>1</v>
      </c>
    </row>
    <row r="884" spans="11:15" x14ac:dyDescent="0.25">
      <c r="K884" s="15" t="s">
        <v>32</v>
      </c>
      <c r="L884" s="16">
        <v>145</v>
      </c>
      <c r="M884" s="28">
        <f t="shared" ca="1" si="63"/>
        <v>138</v>
      </c>
      <c r="N884" s="28">
        <f t="shared" ca="1" si="64"/>
        <v>158</v>
      </c>
      <c r="O884" s="42">
        <f t="shared" ca="1" si="65"/>
        <v>1</v>
      </c>
    </row>
    <row r="885" spans="11:15" x14ac:dyDescent="0.25">
      <c r="K885" s="15" t="s">
        <v>33</v>
      </c>
      <c r="L885" s="16">
        <v>154</v>
      </c>
      <c r="M885" s="28">
        <f t="shared" ca="1" si="63"/>
        <v>138</v>
      </c>
      <c r="N885" s="28">
        <f t="shared" ca="1" si="64"/>
        <v>158</v>
      </c>
      <c r="O885" s="42">
        <f t="shared" ca="1" si="65"/>
        <v>1</v>
      </c>
    </row>
    <row r="886" spans="11:15" x14ac:dyDescent="0.25">
      <c r="K886" s="15" t="s">
        <v>34</v>
      </c>
      <c r="L886" s="16">
        <v>156</v>
      </c>
      <c r="M886" s="28">
        <f t="shared" ca="1" si="63"/>
        <v>138</v>
      </c>
      <c r="N886" s="28">
        <f t="shared" ca="1" si="64"/>
        <v>158</v>
      </c>
      <c r="O886" s="42">
        <f t="shared" ca="1" si="65"/>
        <v>1</v>
      </c>
    </row>
    <row r="887" spans="11:15" x14ac:dyDescent="0.25">
      <c r="K887" s="15" t="s">
        <v>35</v>
      </c>
      <c r="L887" s="16">
        <v>140</v>
      </c>
      <c r="M887" s="28">
        <f t="shared" ca="1" si="63"/>
        <v>138</v>
      </c>
      <c r="N887" s="28">
        <f t="shared" ca="1" si="64"/>
        <v>158</v>
      </c>
      <c r="O887" s="42">
        <f t="shared" ca="1" si="65"/>
        <v>1</v>
      </c>
    </row>
    <row r="888" spans="11:15" x14ac:dyDescent="0.25">
      <c r="K888" s="15" t="s">
        <v>36</v>
      </c>
      <c r="L888" s="16">
        <v>152</v>
      </c>
      <c r="M888" s="28">
        <f t="shared" ca="1" si="63"/>
        <v>138</v>
      </c>
      <c r="N888" s="28">
        <f t="shared" ca="1" si="64"/>
        <v>158</v>
      </c>
      <c r="O888" s="42">
        <f t="shared" ca="1" si="65"/>
        <v>1</v>
      </c>
    </row>
    <row r="889" spans="11:15" x14ac:dyDescent="0.25">
      <c r="K889" s="15" t="s">
        <v>37</v>
      </c>
      <c r="L889" s="16">
        <v>161</v>
      </c>
      <c r="M889" s="28">
        <f t="shared" ca="1" si="63"/>
        <v>138</v>
      </c>
      <c r="N889" s="28">
        <f t="shared" ca="1" si="64"/>
        <v>158</v>
      </c>
      <c r="O889" s="42">
        <f t="shared" ca="1" si="65"/>
        <v>0</v>
      </c>
    </row>
    <row r="890" spans="11:15" x14ac:dyDescent="0.25">
      <c r="K890" s="15" t="s">
        <v>38</v>
      </c>
      <c r="L890" s="16">
        <v>157</v>
      </c>
      <c r="M890" s="28">
        <f t="shared" ca="1" si="63"/>
        <v>138</v>
      </c>
      <c r="N890" s="28">
        <f t="shared" ca="1" si="64"/>
        <v>158</v>
      </c>
      <c r="O890" s="42">
        <f t="shared" ca="1" si="65"/>
        <v>1</v>
      </c>
    </row>
    <row r="891" spans="11:15" x14ac:dyDescent="0.25">
      <c r="K891" s="15" t="s">
        <v>39</v>
      </c>
      <c r="L891" s="16">
        <v>140</v>
      </c>
      <c r="M891" s="28">
        <f t="shared" ca="1" si="63"/>
        <v>138</v>
      </c>
      <c r="N891" s="28">
        <f t="shared" ca="1" si="64"/>
        <v>158</v>
      </c>
      <c r="O891" s="42">
        <f t="shared" ca="1" si="65"/>
        <v>1</v>
      </c>
    </row>
    <row r="892" spans="11:15" x14ac:dyDescent="0.25">
      <c r="K892" s="15" t="s">
        <v>40</v>
      </c>
      <c r="L892" s="16">
        <v>133</v>
      </c>
      <c r="M892" s="28">
        <f t="shared" ca="1" si="63"/>
        <v>138</v>
      </c>
      <c r="N892" s="28">
        <f t="shared" ca="1" si="64"/>
        <v>158</v>
      </c>
      <c r="O892" s="42">
        <f t="shared" ca="1" si="65"/>
        <v>0</v>
      </c>
    </row>
    <row r="893" spans="11:15" x14ac:dyDescent="0.25">
      <c r="K893" s="15" t="s">
        <v>41</v>
      </c>
      <c r="L893" s="16">
        <v>142</v>
      </c>
      <c r="M893" s="28">
        <f t="shared" ca="1" si="63"/>
        <v>138</v>
      </c>
      <c r="N893" s="28">
        <f t="shared" ca="1" si="64"/>
        <v>158</v>
      </c>
      <c r="O893" s="42">
        <f t="shared" ca="1" si="65"/>
        <v>1</v>
      </c>
    </row>
    <row r="894" spans="11:15" x14ac:dyDescent="0.25">
      <c r="K894" s="15" t="s">
        <v>42</v>
      </c>
      <c r="L894" s="16">
        <v>135</v>
      </c>
      <c r="M894" s="28">
        <f t="shared" ca="1" si="63"/>
        <v>138</v>
      </c>
      <c r="N894" s="28">
        <f t="shared" ca="1" si="64"/>
        <v>158</v>
      </c>
      <c r="O894" s="42">
        <f t="shared" ca="1" si="65"/>
        <v>0</v>
      </c>
    </row>
    <row r="895" spans="11:15" x14ac:dyDescent="0.25">
      <c r="K895" s="15" t="s">
        <v>43</v>
      </c>
      <c r="L895" s="16">
        <v>119</v>
      </c>
      <c r="M895" s="28">
        <f t="shared" ca="1" si="63"/>
        <v>138</v>
      </c>
      <c r="N895" s="28">
        <f t="shared" ca="1" si="64"/>
        <v>158</v>
      </c>
      <c r="O895" s="42">
        <f t="shared" ca="1" si="65"/>
        <v>0</v>
      </c>
    </row>
    <row r="896" spans="11:15" x14ac:dyDescent="0.25">
      <c r="K896" s="15" t="s">
        <v>44</v>
      </c>
      <c r="L896" s="16">
        <v>148</v>
      </c>
      <c r="M896" s="28">
        <f t="shared" ca="1" si="63"/>
        <v>138</v>
      </c>
      <c r="N896" s="28">
        <f t="shared" ca="1" si="64"/>
        <v>158</v>
      </c>
      <c r="O896" s="42">
        <f t="shared" ca="1" si="65"/>
        <v>1</v>
      </c>
    </row>
    <row r="897" spans="11:15" x14ac:dyDescent="0.25">
      <c r="K897" s="15" t="s">
        <v>45</v>
      </c>
      <c r="L897" s="16">
        <v>151</v>
      </c>
      <c r="M897" s="28">
        <f t="shared" ca="1" si="63"/>
        <v>138</v>
      </c>
      <c r="N897" s="28">
        <f t="shared" ca="1" si="64"/>
        <v>158</v>
      </c>
      <c r="O897" s="42">
        <f t="shared" ca="1" si="65"/>
        <v>1</v>
      </c>
    </row>
    <row r="898" spans="11:15" x14ac:dyDescent="0.25">
      <c r="K898" s="15" t="s">
        <v>46</v>
      </c>
      <c r="L898" s="16">
        <v>154</v>
      </c>
      <c r="M898" s="28">
        <f t="shared" ca="1" si="63"/>
        <v>138</v>
      </c>
      <c r="N898" s="28">
        <f t="shared" ca="1" si="64"/>
        <v>158</v>
      </c>
      <c r="O898" s="42">
        <f t="shared" ca="1" si="65"/>
        <v>1</v>
      </c>
    </row>
    <row r="899" spans="11:15" x14ac:dyDescent="0.25">
      <c r="K899" s="15" t="s">
        <v>47</v>
      </c>
      <c r="L899" s="16">
        <v>168</v>
      </c>
      <c r="M899" s="28">
        <f t="shared" ca="1" si="63"/>
        <v>138</v>
      </c>
      <c r="N899" s="28">
        <f t="shared" ca="1" si="64"/>
        <v>158</v>
      </c>
      <c r="O899" s="42">
        <f t="shared" ca="1" si="65"/>
        <v>0</v>
      </c>
    </row>
    <row r="900" spans="11:15" x14ac:dyDescent="0.25">
      <c r="K900" s="15" t="s">
        <v>48</v>
      </c>
      <c r="L900" s="16">
        <v>152</v>
      </c>
      <c r="M900" s="28">
        <f t="shared" ca="1" si="63"/>
        <v>138</v>
      </c>
      <c r="N900" s="28">
        <f t="shared" ca="1" si="64"/>
        <v>158</v>
      </c>
      <c r="O900" s="42">
        <f t="shared" ca="1" si="65"/>
        <v>1</v>
      </c>
    </row>
    <row r="901" spans="11:15" x14ac:dyDescent="0.25">
      <c r="K901" s="15" t="s">
        <v>49</v>
      </c>
      <c r="L901" s="16">
        <v>161</v>
      </c>
      <c r="M901" s="28">
        <f t="shared" ca="1" si="63"/>
        <v>138</v>
      </c>
      <c r="N901" s="28">
        <f t="shared" ca="1" si="64"/>
        <v>158</v>
      </c>
      <c r="O901" s="42">
        <f t="shared" ca="1" si="65"/>
        <v>0</v>
      </c>
    </row>
    <row r="902" spans="11:15" x14ac:dyDescent="0.25">
      <c r="K902" s="15" t="s">
        <v>50</v>
      </c>
      <c r="L902" s="16">
        <v>162</v>
      </c>
      <c r="M902" s="28">
        <f t="shared" ca="1" si="63"/>
        <v>138</v>
      </c>
      <c r="N902" s="28">
        <f t="shared" ca="1" si="64"/>
        <v>158</v>
      </c>
      <c r="O902" s="42">
        <f t="shared" ca="1" si="65"/>
        <v>0</v>
      </c>
    </row>
    <row r="903" spans="11:15" x14ac:dyDescent="0.25">
      <c r="K903" s="15" t="s">
        <v>51</v>
      </c>
      <c r="L903" s="16">
        <v>155</v>
      </c>
      <c r="M903" s="28">
        <f t="shared" ca="1" si="63"/>
        <v>138</v>
      </c>
      <c r="N903" s="28">
        <f t="shared" ca="1" si="64"/>
        <v>158</v>
      </c>
      <c r="O903" s="42">
        <f t="shared" ca="1" si="65"/>
        <v>1</v>
      </c>
    </row>
    <row r="904" spans="11:15" x14ac:dyDescent="0.25">
      <c r="K904" s="15" t="s">
        <v>52</v>
      </c>
      <c r="L904" s="16">
        <v>146</v>
      </c>
      <c r="M904" s="28">
        <f t="shared" ca="1" si="63"/>
        <v>138</v>
      </c>
      <c r="N904" s="28">
        <f t="shared" ca="1" si="64"/>
        <v>158</v>
      </c>
      <c r="O904" s="42">
        <f t="shared" ca="1" si="65"/>
        <v>1</v>
      </c>
    </row>
    <row r="905" spans="11:15" x14ac:dyDescent="0.25">
      <c r="K905" s="15" t="s">
        <v>53</v>
      </c>
      <c r="L905" s="16">
        <v>149</v>
      </c>
      <c r="M905" s="28">
        <f t="shared" ca="1" si="63"/>
        <v>138</v>
      </c>
      <c r="N905" s="28">
        <f t="shared" ca="1" si="64"/>
        <v>158</v>
      </c>
      <c r="O905" s="42">
        <f t="shared" ca="1" si="65"/>
        <v>1</v>
      </c>
    </row>
    <row r="906" spans="11:15" x14ac:dyDescent="0.25">
      <c r="K906" s="15" t="s">
        <v>54</v>
      </c>
      <c r="L906" s="16">
        <v>150</v>
      </c>
      <c r="M906" s="28">
        <f t="shared" ca="1" si="63"/>
        <v>138</v>
      </c>
      <c r="N906" s="28">
        <f t="shared" ca="1" si="64"/>
        <v>158</v>
      </c>
      <c r="O906" s="42">
        <f t="shared" ca="1" si="65"/>
        <v>1</v>
      </c>
    </row>
    <row r="907" spans="11:15" x14ac:dyDescent="0.25">
      <c r="K907" s="15" t="s">
        <v>55</v>
      </c>
      <c r="L907" s="16">
        <v>145</v>
      </c>
      <c r="M907" s="28">
        <f t="shared" ref="M907:M970" ca="1" si="66">$I$14-epsilon</f>
        <v>138</v>
      </c>
      <c r="N907" s="28">
        <f t="shared" ref="N907:N970" ca="1" si="67">$I$14+epsilon</f>
        <v>158</v>
      </c>
      <c r="O907" s="42">
        <f t="shared" ca="1" si="65"/>
        <v>1</v>
      </c>
    </row>
    <row r="908" spans="11:15" x14ac:dyDescent="0.25">
      <c r="K908" s="15" t="s">
        <v>56</v>
      </c>
      <c r="L908" s="16">
        <v>154</v>
      </c>
      <c r="M908" s="28">
        <f t="shared" ca="1" si="66"/>
        <v>138</v>
      </c>
      <c r="N908" s="28">
        <f t="shared" ca="1" si="67"/>
        <v>158</v>
      </c>
      <c r="O908" s="42">
        <f t="shared" ca="1" si="65"/>
        <v>1</v>
      </c>
    </row>
    <row r="909" spans="11:15" x14ac:dyDescent="0.25">
      <c r="K909" s="15" t="s">
        <v>57</v>
      </c>
      <c r="L909" s="16">
        <v>140</v>
      </c>
      <c r="M909" s="28">
        <f t="shared" ca="1" si="66"/>
        <v>138</v>
      </c>
      <c r="N909" s="28">
        <f t="shared" ca="1" si="67"/>
        <v>158</v>
      </c>
      <c r="O909" s="42">
        <f t="shared" ref="O909:O972" ca="1" si="68">IF(AND(L909&gt;=M909,L909&lt;=N909),1,0)</f>
        <v>1</v>
      </c>
    </row>
    <row r="910" spans="11:15" x14ac:dyDescent="0.25">
      <c r="K910" s="15" t="s">
        <v>58</v>
      </c>
      <c r="L910" s="16">
        <v>152</v>
      </c>
      <c r="M910" s="28">
        <f t="shared" ca="1" si="66"/>
        <v>138</v>
      </c>
      <c r="N910" s="28">
        <f t="shared" ca="1" si="67"/>
        <v>158</v>
      </c>
      <c r="O910" s="42">
        <f t="shared" ca="1" si="68"/>
        <v>1</v>
      </c>
    </row>
    <row r="911" spans="11:15" x14ac:dyDescent="0.25">
      <c r="K911" s="15" t="s">
        <v>59</v>
      </c>
      <c r="L911" s="16">
        <v>140</v>
      </c>
      <c r="M911" s="28">
        <f t="shared" ca="1" si="66"/>
        <v>138</v>
      </c>
      <c r="N911" s="28">
        <f t="shared" ca="1" si="67"/>
        <v>158</v>
      </c>
      <c r="O911" s="42">
        <f t="shared" ca="1" si="68"/>
        <v>1</v>
      </c>
    </row>
    <row r="912" spans="11:15" x14ac:dyDescent="0.25">
      <c r="K912" s="15" t="s">
        <v>60</v>
      </c>
      <c r="L912" s="16">
        <v>142</v>
      </c>
      <c r="M912" s="28">
        <f t="shared" ca="1" si="66"/>
        <v>138</v>
      </c>
      <c r="N912" s="28">
        <f t="shared" ca="1" si="67"/>
        <v>158</v>
      </c>
      <c r="O912" s="42">
        <f t="shared" ca="1" si="68"/>
        <v>1</v>
      </c>
    </row>
    <row r="913" spans="11:15" x14ac:dyDescent="0.25">
      <c r="K913" s="15" t="s">
        <v>61</v>
      </c>
      <c r="L913" s="16">
        <v>151</v>
      </c>
      <c r="M913" s="28">
        <f t="shared" ca="1" si="66"/>
        <v>138</v>
      </c>
      <c r="N913" s="28">
        <f t="shared" ca="1" si="67"/>
        <v>158</v>
      </c>
      <c r="O913" s="42">
        <f t="shared" ca="1" si="68"/>
        <v>1</v>
      </c>
    </row>
    <row r="914" spans="11:15" x14ac:dyDescent="0.25">
      <c r="K914" s="15" t="s">
        <v>62</v>
      </c>
      <c r="L914" s="16">
        <v>166</v>
      </c>
      <c r="M914" s="28">
        <f t="shared" ca="1" si="66"/>
        <v>138</v>
      </c>
      <c r="N914" s="28">
        <f t="shared" ca="1" si="67"/>
        <v>158</v>
      </c>
      <c r="O914" s="42">
        <f t="shared" ca="1" si="68"/>
        <v>0</v>
      </c>
    </row>
    <row r="915" spans="11:15" x14ac:dyDescent="0.25">
      <c r="K915" s="15" t="s">
        <v>63</v>
      </c>
      <c r="L915" s="16">
        <v>159</v>
      </c>
      <c r="M915" s="28">
        <f t="shared" ca="1" si="66"/>
        <v>138</v>
      </c>
      <c r="N915" s="28">
        <f t="shared" ca="1" si="67"/>
        <v>158</v>
      </c>
      <c r="O915" s="42">
        <f t="shared" ca="1" si="68"/>
        <v>0</v>
      </c>
    </row>
    <row r="916" spans="11:15" x14ac:dyDescent="0.25">
      <c r="K916" s="15" t="s">
        <v>64</v>
      </c>
      <c r="L916" s="16">
        <v>151</v>
      </c>
      <c r="M916" s="28">
        <f t="shared" ca="1" si="66"/>
        <v>138</v>
      </c>
      <c r="N916" s="28">
        <f t="shared" ca="1" si="67"/>
        <v>158</v>
      </c>
      <c r="O916" s="42">
        <f t="shared" ca="1" si="68"/>
        <v>1</v>
      </c>
    </row>
    <row r="917" spans="11:15" x14ac:dyDescent="0.25">
      <c r="K917" s="15" t="s">
        <v>65</v>
      </c>
      <c r="L917" s="16">
        <v>151</v>
      </c>
      <c r="M917" s="28">
        <f t="shared" ca="1" si="66"/>
        <v>138</v>
      </c>
      <c r="N917" s="28">
        <f t="shared" ca="1" si="67"/>
        <v>158</v>
      </c>
      <c r="O917" s="42">
        <f t="shared" ca="1" si="68"/>
        <v>1</v>
      </c>
    </row>
    <row r="918" spans="11:15" x14ac:dyDescent="0.25">
      <c r="K918" s="15" t="s">
        <v>66</v>
      </c>
      <c r="L918" s="16">
        <v>164</v>
      </c>
      <c r="M918" s="28">
        <f t="shared" ca="1" si="66"/>
        <v>138</v>
      </c>
      <c r="N918" s="28">
        <f t="shared" ca="1" si="67"/>
        <v>158</v>
      </c>
      <c r="O918" s="42">
        <f t="shared" ca="1" si="68"/>
        <v>0</v>
      </c>
    </row>
    <row r="919" spans="11:15" x14ac:dyDescent="0.25">
      <c r="K919" s="15" t="s">
        <v>67</v>
      </c>
      <c r="L919" s="16">
        <v>160</v>
      </c>
      <c r="M919" s="28">
        <f t="shared" ca="1" si="66"/>
        <v>138</v>
      </c>
      <c r="N919" s="28">
        <f t="shared" ca="1" si="67"/>
        <v>158</v>
      </c>
      <c r="O919" s="42">
        <f t="shared" ca="1" si="68"/>
        <v>0</v>
      </c>
    </row>
    <row r="920" spans="11:15" x14ac:dyDescent="0.25">
      <c r="K920" s="15" t="s">
        <v>68</v>
      </c>
      <c r="L920" s="16">
        <v>157</v>
      </c>
      <c r="M920" s="28">
        <f t="shared" ca="1" si="66"/>
        <v>138</v>
      </c>
      <c r="N920" s="28">
        <f t="shared" ca="1" si="67"/>
        <v>158</v>
      </c>
      <c r="O920" s="42">
        <f t="shared" ca="1" si="68"/>
        <v>1</v>
      </c>
    </row>
    <row r="921" spans="11:15" x14ac:dyDescent="0.25">
      <c r="K921" s="15" t="s">
        <v>69</v>
      </c>
      <c r="L921" s="16">
        <v>151</v>
      </c>
      <c r="M921" s="28">
        <f t="shared" ca="1" si="66"/>
        <v>138</v>
      </c>
      <c r="N921" s="28">
        <f t="shared" ca="1" si="67"/>
        <v>158</v>
      </c>
      <c r="O921" s="42">
        <f t="shared" ca="1" si="68"/>
        <v>1</v>
      </c>
    </row>
    <row r="922" spans="11:15" x14ac:dyDescent="0.25">
      <c r="K922" s="15" t="s">
        <v>70</v>
      </c>
      <c r="L922" s="16">
        <v>151</v>
      </c>
      <c r="M922" s="28">
        <f t="shared" ca="1" si="66"/>
        <v>138</v>
      </c>
      <c r="N922" s="28">
        <f t="shared" ca="1" si="67"/>
        <v>158</v>
      </c>
      <c r="O922" s="42">
        <f t="shared" ca="1" si="68"/>
        <v>1</v>
      </c>
    </row>
    <row r="923" spans="11:15" x14ac:dyDescent="0.25">
      <c r="K923" s="15" t="s">
        <v>71</v>
      </c>
      <c r="L923" s="16">
        <v>157</v>
      </c>
      <c r="M923" s="28">
        <f t="shared" ca="1" si="66"/>
        <v>138</v>
      </c>
      <c r="N923" s="28">
        <f t="shared" ca="1" si="67"/>
        <v>158</v>
      </c>
      <c r="O923" s="42">
        <f t="shared" ca="1" si="68"/>
        <v>1</v>
      </c>
    </row>
    <row r="924" spans="11:15" x14ac:dyDescent="0.25">
      <c r="K924" s="15" t="s">
        <v>72</v>
      </c>
      <c r="L924" s="16">
        <v>151</v>
      </c>
      <c r="M924" s="28">
        <f t="shared" ca="1" si="66"/>
        <v>138</v>
      </c>
      <c r="N924" s="28">
        <f t="shared" ca="1" si="67"/>
        <v>158</v>
      </c>
      <c r="O924" s="42">
        <f t="shared" ca="1" si="68"/>
        <v>1</v>
      </c>
    </row>
    <row r="925" spans="11:15" x14ac:dyDescent="0.25">
      <c r="K925" s="15" t="s">
        <v>73</v>
      </c>
      <c r="L925" s="16">
        <v>143</v>
      </c>
      <c r="M925" s="28">
        <f t="shared" ca="1" si="66"/>
        <v>138</v>
      </c>
      <c r="N925" s="28">
        <f t="shared" ca="1" si="67"/>
        <v>158</v>
      </c>
      <c r="O925" s="42">
        <f t="shared" ca="1" si="68"/>
        <v>1</v>
      </c>
    </row>
    <row r="926" spans="11:15" x14ac:dyDescent="0.25">
      <c r="K926" s="15" t="s">
        <v>74</v>
      </c>
      <c r="L926" s="16">
        <v>144</v>
      </c>
      <c r="M926" s="28">
        <f t="shared" ca="1" si="66"/>
        <v>138</v>
      </c>
      <c r="N926" s="28">
        <f t="shared" ca="1" si="67"/>
        <v>158</v>
      </c>
      <c r="O926" s="42">
        <f t="shared" ca="1" si="68"/>
        <v>1</v>
      </c>
    </row>
    <row r="927" spans="11:15" x14ac:dyDescent="0.25">
      <c r="K927" s="15" t="s">
        <v>75</v>
      </c>
      <c r="L927" s="16">
        <v>172</v>
      </c>
      <c r="M927" s="28">
        <f t="shared" ca="1" si="66"/>
        <v>138</v>
      </c>
      <c r="N927" s="28">
        <f t="shared" ca="1" si="67"/>
        <v>158</v>
      </c>
      <c r="O927" s="42">
        <f t="shared" ca="1" si="68"/>
        <v>0</v>
      </c>
    </row>
    <row r="928" spans="11:15" x14ac:dyDescent="0.25">
      <c r="K928" s="15" t="s">
        <v>76</v>
      </c>
      <c r="L928" s="16">
        <v>162</v>
      </c>
      <c r="M928" s="28">
        <f t="shared" ca="1" si="66"/>
        <v>138</v>
      </c>
      <c r="N928" s="28">
        <f t="shared" ca="1" si="67"/>
        <v>158</v>
      </c>
      <c r="O928" s="42">
        <f t="shared" ca="1" si="68"/>
        <v>0</v>
      </c>
    </row>
    <row r="929" spans="11:15" x14ac:dyDescent="0.25">
      <c r="K929" s="15" t="s">
        <v>77</v>
      </c>
      <c r="L929" s="16">
        <v>148</v>
      </c>
      <c r="M929" s="28">
        <f t="shared" ca="1" si="66"/>
        <v>138</v>
      </c>
      <c r="N929" s="28">
        <f t="shared" ca="1" si="67"/>
        <v>158</v>
      </c>
      <c r="O929" s="42">
        <f t="shared" ca="1" si="68"/>
        <v>1</v>
      </c>
    </row>
    <row r="930" spans="11:15" x14ac:dyDescent="0.25">
      <c r="K930" s="15" t="s">
        <v>78</v>
      </c>
      <c r="L930" s="16">
        <v>156</v>
      </c>
      <c r="M930" s="28">
        <f t="shared" ca="1" si="66"/>
        <v>138</v>
      </c>
      <c r="N930" s="28">
        <f t="shared" ca="1" si="67"/>
        <v>158</v>
      </c>
      <c r="O930" s="42">
        <f t="shared" ca="1" si="68"/>
        <v>1</v>
      </c>
    </row>
    <row r="931" spans="11:15" x14ac:dyDescent="0.25">
      <c r="K931" s="15" t="s">
        <v>79</v>
      </c>
      <c r="L931" s="16">
        <v>151</v>
      </c>
      <c r="M931" s="28">
        <f t="shared" ca="1" si="66"/>
        <v>138</v>
      </c>
      <c r="N931" s="28">
        <f t="shared" ca="1" si="67"/>
        <v>158</v>
      </c>
      <c r="O931" s="42">
        <f t="shared" ca="1" si="68"/>
        <v>1</v>
      </c>
    </row>
    <row r="932" spans="11:15" x14ac:dyDescent="0.25">
      <c r="K932" s="15" t="s">
        <v>80</v>
      </c>
      <c r="L932" s="16">
        <v>141</v>
      </c>
      <c r="M932" s="28">
        <f t="shared" ca="1" si="66"/>
        <v>138</v>
      </c>
      <c r="N932" s="28">
        <f t="shared" ca="1" si="67"/>
        <v>158</v>
      </c>
      <c r="O932" s="42">
        <f t="shared" ca="1" si="68"/>
        <v>1</v>
      </c>
    </row>
    <row r="933" spans="11:15" x14ac:dyDescent="0.25">
      <c r="K933" s="15" t="s">
        <v>81</v>
      </c>
      <c r="L933" s="16">
        <v>146</v>
      </c>
      <c r="M933" s="28">
        <f t="shared" ca="1" si="66"/>
        <v>138</v>
      </c>
      <c r="N933" s="28">
        <f t="shared" ca="1" si="67"/>
        <v>158</v>
      </c>
      <c r="O933" s="42">
        <f t="shared" ca="1" si="68"/>
        <v>1</v>
      </c>
    </row>
    <row r="934" spans="11:15" x14ac:dyDescent="0.25">
      <c r="K934" s="15" t="s">
        <v>82</v>
      </c>
      <c r="L934" s="16">
        <v>155</v>
      </c>
      <c r="M934" s="28">
        <f t="shared" ca="1" si="66"/>
        <v>138</v>
      </c>
      <c r="N934" s="28">
        <f t="shared" ca="1" si="67"/>
        <v>158</v>
      </c>
      <c r="O934" s="42">
        <f t="shared" ca="1" si="68"/>
        <v>1</v>
      </c>
    </row>
    <row r="935" spans="11:15" x14ac:dyDescent="0.25">
      <c r="K935" s="15" t="s">
        <v>83</v>
      </c>
      <c r="L935" s="16">
        <v>157</v>
      </c>
      <c r="M935" s="28">
        <f t="shared" ca="1" si="66"/>
        <v>138</v>
      </c>
      <c r="N935" s="28">
        <f t="shared" ca="1" si="67"/>
        <v>158</v>
      </c>
      <c r="O935" s="42">
        <f t="shared" ca="1" si="68"/>
        <v>1</v>
      </c>
    </row>
    <row r="936" spans="11:15" x14ac:dyDescent="0.25">
      <c r="K936" s="15" t="s">
        <v>84</v>
      </c>
      <c r="L936" s="16">
        <v>148</v>
      </c>
      <c r="M936" s="28">
        <f t="shared" ca="1" si="66"/>
        <v>138</v>
      </c>
      <c r="N936" s="28">
        <f t="shared" ca="1" si="67"/>
        <v>158</v>
      </c>
      <c r="O936" s="42">
        <f t="shared" ca="1" si="68"/>
        <v>1</v>
      </c>
    </row>
    <row r="937" spans="11:15" x14ac:dyDescent="0.25">
      <c r="K937" s="15" t="s">
        <v>85</v>
      </c>
      <c r="L937" s="16">
        <v>138</v>
      </c>
      <c r="M937" s="28">
        <f t="shared" ca="1" si="66"/>
        <v>138</v>
      </c>
      <c r="N937" s="28">
        <f t="shared" ca="1" si="67"/>
        <v>158</v>
      </c>
      <c r="O937" s="42">
        <f t="shared" ca="1" si="68"/>
        <v>1</v>
      </c>
    </row>
    <row r="938" spans="11:15" x14ac:dyDescent="0.25">
      <c r="K938" s="15" t="s">
        <v>86</v>
      </c>
      <c r="L938" s="16">
        <v>155</v>
      </c>
      <c r="M938" s="28">
        <f t="shared" ca="1" si="66"/>
        <v>138</v>
      </c>
      <c r="N938" s="28">
        <f t="shared" ca="1" si="67"/>
        <v>158</v>
      </c>
      <c r="O938" s="42">
        <f t="shared" ca="1" si="68"/>
        <v>1</v>
      </c>
    </row>
    <row r="939" spans="11:15" x14ac:dyDescent="0.25">
      <c r="K939" s="15" t="s">
        <v>87</v>
      </c>
      <c r="L939" s="16">
        <v>155</v>
      </c>
      <c r="M939" s="28">
        <f t="shared" ca="1" si="66"/>
        <v>138</v>
      </c>
      <c r="N939" s="28">
        <f t="shared" ca="1" si="67"/>
        <v>158</v>
      </c>
      <c r="O939" s="42">
        <f t="shared" ca="1" si="68"/>
        <v>1</v>
      </c>
    </row>
    <row r="940" spans="11:15" x14ac:dyDescent="0.25">
      <c r="K940" s="15" t="s">
        <v>88</v>
      </c>
      <c r="L940" s="16">
        <v>143</v>
      </c>
      <c r="M940" s="28">
        <f t="shared" ca="1" si="66"/>
        <v>138</v>
      </c>
      <c r="N940" s="28">
        <f t="shared" ca="1" si="67"/>
        <v>158</v>
      </c>
      <c r="O940" s="42">
        <f t="shared" ca="1" si="68"/>
        <v>1</v>
      </c>
    </row>
    <row r="941" spans="11:15" x14ac:dyDescent="0.25">
      <c r="K941" s="15" t="s">
        <v>89</v>
      </c>
      <c r="L941" s="16">
        <v>138</v>
      </c>
      <c r="M941" s="28">
        <f t="shared" ca="1" si="66"/>
        <v>138</v>
      </c>
      <c r="N941" s="28">
        <f t="shared" ca="1" si="67"/>
        <v>158</v>
      </c>
      <c r="O941" s="42">
        <f t="shared" ca="1" si="68"/>
        <v>1</v>
      </c>
    </row>
    <row r="942" spans="11:15" x14ac:dyDescent="0.25">
      <c r="K942" s="15" t="s">
        <v>90</v>
      </c>
      <c r="L942" s="16">
        <v>144</v>
      </c>
      <c r="M942" s="28">
        <f t="shared" ca="1" si="66"/>
        <v>138</v>
      </c>
      <c r="N942" s="28">
        <f t="shared" ca="1" si="67"/>
        <v>158</v>
      </c>
      <c r="O942" s="42">
        <f t="shared" ca="1" si="68"/>
        <v>1</v>
      </c>
    </row>
    <row r="943" spans="11:15" x14ac:dyDescent="0.25">
      <c r="K943" s="15" t="s">
        <v>91</v>
      </c>
      <c r="L943" s="16">
        <v>141</v>
      </c>
      <c r="M943" s="28">
        <f t="shared" ca="1" si="66"/>
        <v>138</v>
      </c>
      <c r="N943" s="28">
        <f t="shared" ca="1" si="67"/>
        <v>158</v>
      </c>
      <c r="O943" s="42">
        <f t="shared" ca="1" si="68"/>
        <v>1</v>
      </c>
    </row>
    <row r="944" spans="11:15" x14ac:dyDescent="0.25">
      <c r="K944" s="15" t="s">
        <v>92</v>
      </c>
      <c r="L944" s="16">
        <v>141</v>
      </c>
      <c r="M944" s="28">
        <f t="shared" ca="1" si="66"/>
        <v>138</v>
      </c>
      <c r="N944" s="28">
        <f t="shared" ca="1" si="67"/>
        <v>158</v>
      </c>
      <c r="O944" s="42">
        <f t="shared" ca="1" si="68"/>
        <v>1</v>
      </c>
    </row>
    <row r="945" spans="11:15" x14ac:dyDescent="0.25">
      <c r="K945" s="15" t="s">
        <v>93</v>
      </c>
      <c r="L945" s="16">
        <v>139</v>
      </c>
      <c r="M945" s="28">
        <f t="shared" ca="1" si="66"/>
        <v>138</v>
      </c>
      <c r="N945" s="28">
        <f t="shared" ca="1" si="67"/>
        <v>158</v>
      </c>
      <c r="O945" s="42">
        <f t="shared" ca="1" si="68"/>
        <v>1</v>
      </c>
    </row>
    <row r="946" spans="11:15" x14ac:dyDescent="0.25">
      <c r="K946" s="15" t="s">
        <v>94</v>
      </c>
      <c r="L946" s="16">
        <v>139</v>
      </c>
      <c r="M946" s="28">
        <f t="shared" ca="1" si="66"/>
        <v>138</v>
      </c>
      <c r="N946" s="28">
        <f t="shared" ca="1" si="67"/>
        <v>158</v>
      </c>
      <c r="O946" s="42">
        <f t="shared" ca="1" si="68"/>
        <v>1</v>
      </c>
    </row>
    <row r="947" spans="11:15" x14ac:dyDescent="0.25">
      <c r="K947" s="15" t="s">
        <v>95</v>
      </c>
      <c r="L947" s="16">
        <v>161</v>
      </c>
      <c r="M947" s="28">
        <f t="shared" ca="1" si="66"/>
        <v>138</v>
      </c>
      <c r="N947" s="28">
        <f t="shared" ca="1" si="67"/>
        <v>158</v>
      </c>
      <c r="O947" s="42">
        <f t="shared" ca="1" si="68"/>
        <v>0</v>
      </c>
    </row>
    <row r="948" spans="11:15" x14ac:dyDescent="0.25">
      <c r="K948" s="15" t="s">
        <v>96</v>
      </c>
      <c r="L948" s="16">
        <v>152</v>
      </c>
      <c r="M948" s="28">
        <f t="shared" ca="1" si="66"/>
        <v>138</v>
      </c>
      <c r="N948" s="28">
        <f t="shared" ca="1" si="67"/>
        <v>158</v>
      </c>
      <c r="O948" s="42">
        <f t="shared" ca="1" si="68"/>
        <v>1</v>
      </c>
    </row>
    <row r="949" spans="11:15" x14ac:dyDescent="0.25">
      <c r="K949" s="15" t="s">
        <v>97</v>
      </c>
      <c r="L949" s="16">
        <v>147</v>
      </c>
      <c r="M949" s="28">
        <f t="shared" ca="1" si="66"/>
        <v>138</v>
      </c>
      <c r="N949" s="28">
        <f t="shared" ca="1" si="67"/>
        <v>158</v>
      </c>
      <c r="O949" s="42">
        <f t="shared" ca="1" si="68"/>
        <v>1</v>
      </c>
    </row>
    <row r="950" spans="11:15" x14ac:dyDescent="0.25">
      <c r="K950" s="15" t="s">
        <v>98</v>
      </c>
      <c r="L950" s="16">
        <v>138</v>
      </c>
      <c r="M950" s="28">
        <f t="shared" ca="1" si="66"/>
        <v>138</v>
      </c>
      <c r="N950" s="28">
        <f t="shared" ca="1" si="67"/>
        <v>158</v>
      </c>
      <c r="O950" s="42">
        <f t="shared" ca="1" si="68"/>
        <v>1</v>
      </c>
    </row>
    <row r="951" spans="11:15" x14ac:dyDescent="0.25">
      <c r="K951" s="15" t="s">
        <v>99</v>
      </c>
      <c r="L951" s="16">
        <v>141</v>
      </c>
      <c r="M951" s="28">
        <f t="shared" ca="1" si="66"/>
        <v>138</v>
      </c>
      <c r="N951" s="28">
        <f t="shared" ca="1" si="67"/>
        <v>158</v>
      </c>
      <c r="O951" s="42">
        <f t="shared" ca="1" si="68"/>
        <v>1</v>
      </c>
    </row>
    <row r="952" spans="11:15" x14ac:dyDescent="0.25">
      <c r="K952" s="15" t="s">
        <v>100</v>
      </c>
      <c r="L952" s="16">
        <v>151</v>
      </c>
      <c r="M952" s="28">
        <f t="shared" ca="1" si="66"/>
        <v>138</v>
      </c>
      <c r="N952" s="28">
        <f t="shared" ca="1" si="67"/>
        <v>158</v>
      </c>
      <c r="O952" s="42">
        <f t="shared" ca="1" si="68"/>
        <v>1</v>
      </c>
    </row>
    <row r="953" spans="11:15" x14ac:dyDescent="0.25">
      <c r="K953" s="15" t="s">
        <v>101</v>
      </c>
      <c r="L953" s="16">
        <v>146</v>
      </c>
      <c r="M953" s="28">
        <f t="shared" ca="1" si="66"/>
        <v>138</v>
      </c>
      <c r="N953" s="28">
        <f t="shared" ca="1" si="67"/>
        <v>158</v>
      </c>
      <c r="O953" s="42">
        <f t="shared" ca="1" si="68"/>
        <v>1</v>
      </c>
    </row>
    <row r="954" spans="11:15" x14ac:dyDescent="0.25">
      <c r="K954" s="15" t="s">
        <v>102</v>
      </c>
      <c r="L954" s="16">
        <v>155</v>
      </c>
      <c r="M954" s="28">
        <f t="shared" ca="1" si="66"/>
        <v>138</v>
      </c>
      <c r="N954" s="28">
        <f t="shared" ca="1" si="67"/>
        <v>158</v>
      </c>
      <c r="O954" s="42">
        <f t="shared" ca="1" si="68"/>
        <v>1</v>
      </c>
    </row>
    <row r="955" spans="11:15" x14ac:dyDescent="0.25">
      <c r="K955" s="15" t="s">
        <v>103</v>
      </c>
      <c r="L955" s="16">
        <v>158</v>
      </c>
      <c r="M955" s="28">
        <f t="shared" ca="1" si="66"/>
        <v>138</v>
      </c>
      <c r="N955" s="28">
        <f t="shared" ca="1" si="67"/>
        <v>158</v>
      </c>
      <c r="O955" s="42">
        <f t="shared" ca="1" si="68"/>
        <v>1</v>
      </c>
    </row>
    <row r="956" spans="11:15" x14ac:dyDescent="0.25">
      <c r="K956" s="15" t="s">
        <v>104</v>
      </c>
      <c r="L956" s="16">
        <v>146</v>
      </c>
      <c r="M956" s="28">
        <f t="shared" ca="1" si="66"/>
        <v>138</v>
      </c>
      <c r="N956" s="28">
        <f t="shared" ca="1" si="67"/>
        <v>158</v>
      </c>
      <c r="O956" s="42">
        <f t="shared" ca="1" si="68"/>
        <v>1</v>
      </c>
    </row>
    <row r="957" spans="11:15" x14ac:dyDescent="0.25">
      <c r="K957" s="15" t="s">
        <v>105</v>
      </c>
      <c r="L957" s="16">
        <v>148</v>
      </c>
      <c r="M957" s="28">
        <f t="shared" ca="1" si="66"/>
        <v>138</v>
      </c>
      <c r="N957" s="28">
        <f t="shared" ca="1" si="67"/>
        <v>158</v>
      </c>
      <c r="O957" s="42">
        <f t="shared" ca="1" si="68"/>
        <v>1</v>
      </c>
    </row>
    <row r="958" spans="11:15" x14ac:dyDescent="0.25">
      <c r="K958" s="15" t="s">
        <v>106</v>
      </c>
      <c r="L958" s="16">
        <v>144</v>
      </c>
      <c r="M958" s="28">
        <f t="shared" ca="1" si="66"/>
        <v>138</v>
      </c>
      <c r="N958" s="28">
        <f t="shared" ca="1" si="67"/>
        <v>158</v>
      </c>
      <c r="O958" s="42">
        <f t="shared" ca="1" si="68"/>
        <v>1</v>
      </c>
    </row>
    <row r="959" spans="11:15" x14ac:dyDescent="0.25">
      <c r="K959" s="15" t="s">
        <v>107</v>
      </c>
      <c r="L959" s="16">
        <v>131</v>
      </c>
      <c r="M959" s="28">
        <f t="shared" ca="1" si="66"/>
        <v>138</v>
      </c>
      <c r="N959" s="28">
        <f t="shared" ca="1" si="67"/>
        <v>158</v>
      </c>
      <c r="O959" s="42">
        <f t="shared" ca="1" si="68"/>
        <v>0</v>
      </c>
    </row>
    <row r="960" spans="11:15" x14ac:dyDescent="0.25">
      <c r="K960" s="15" t="s">
        <v>108</v>
      </c>
      <c r="L960" s="16">
        <v>140</v>
      </c>
      <c r="M960" s="28">
        <f t="shared" ca="1" si="66"/>
        <v>138</v>
      </c>
      <c r="N960" s="28">
        <f t="shared" ca="1" si="67"/>
        <v>158</v>
      </c>
      <c r="O960" s="42">
        <f t="shared" ca="1" si="68"/>
        <v>1</v>
      </c>
    </row>
    <row r="961" spans="11:15" x14ac:dyDescent="0.25">
      <c r="K961" s="15" t="s">
        <v>109</v>
      </c>
      <c r="L961" s="16">
        <v>158</v>
      </c>
      <c r="M961" s="28">
        <f t="shared" ca="1" si="66"/>
        <v>138</v>
      </c>
      <c r="N961" s="28">
        <f t="shared" ca="1" si="67"/>
        <v>158</v>
      </c>
      <c r="O961" s="42">
        <f t="shared" ca="1" si="68"/>
        <v>1</v>
      </c>
    </row>
    <row r="962" spans="11:15" x14ac:dyDescent="0.25">
      <c r="K962" s="15" t="s">
        <v>110</v>
      </c>
      <c r="L962" s="16">
        <v>149</v>
      </c>
      <c r="M962" s="28">
        <f t="shared" ca="1" si="66"/>
        <v>138</v>
      </c>
      <c r="N962" s="28">
        <f t="shared" ca="1" si="67"/>
        <v>158</v>
      </c>
      <c r="O962" s="42">
        <f t="shared" ca="1" si="68"/>
        <v>1</v>
      </c>
    </row>
    <row r="963" spans="11:15" x14ac:dyDescent="0.25">
      <c r="K963" s="15" t="s">
        <v>111</v>
      </c>
      <c r="L963" s="16">
        <v>148</v>
      </c>
      <c r="M963" s="28">
        <f t="shared" ca="1" si="66"/>
        <v>138</v>
      </c>
      <c r="N963" s="28">
        <f t="shared" ca="1" si="67"/>
        <v>158</v>
      </c>
      <c r="O963" s="42">
        <f t="shared" ca="1" si="68"/>
        <v>1</v>
      </c>
    </row>
    <row r="964" spans="11:15" x14ac:dyDescent="0.25">
      <c r="K964" s="15" t="s">
        <v>112</v>
      </c>
      <c r="L964" s="16">
        <v>153</v>
      </c>
      <c r="M964" s="28">
        <f t="shared" ca="1" si="66"/>
        <v>138</v>
      </c>
      <c r="N964" s="28">
        <f t="shared" ca="1" si="67"/>
        <v>158</v>
      </c>
      <c r="O964" s="42">
        <f t="shared" ca="1" si="68"/>
        <v>1</v>
      </c>
    </row>
    <row r="965" spans="11:15" x14ac:dyDescent="0.25">
      <c r="K965" s="15" t="s">
        <v>113</v>
      </c>
      <c r="L965" s="16">
        <v>153</v>
      </c>
      <c r="M965" s="28">
        <f t="shared" ca="1" si="66"/>
        <v>138</v>
      </c>
      <c r="N965" s="28">
        <f t="shared" ca="1" si="67"/>
        <v>158</v>
      </c>
      <c r="O965" s="42">
        <f t="shared" ca="1" si="68"/>
        <v>1</v>
      </c>
    </row>
    <row r="966" spans="11:15" x14ac:dyDescent="0.25">
      <c r="K966" s="15" t="s">
        <v>114</v>
      </c>
      <c r="L966" s="16">
        <v>153</v>
      </c>
      <c r="M966" s="28">
        <f t="shared" ca="1" si="66"/>
        <v>138</v>
      </c>
      <c r="N966" s="28">
        <f t="shared" ca="1" si="67"/>
        <v>158</v>
      </c>
      <c r="O966" s="42">
        <f t="shared" ca="1" si="68"/>
        <v>1</v>
      </c>
    </row>
    <row r="967" spans="11:15" x14ac:dyDescent="0.25">
      <c r="K967" s="15" t="s">
        <v>115</v>
      </c>
      <c r="L967" s="16">
        <v>158</v>
      </c>
      <c r="M967" s="28">
        <f t="shared" ca="1" si="66"/>
        <v>138</v>
      </c>
      <c r="N967" s="28">
        <f t="shared" ca="1" si="67"/>
        <v>158</v>
      </c>
      <c r="O967" s="42">
        <f t="shared" ca="1" si="68"/>
        <v>1</v>
      </c>
    </row>
    <row r="968" spans="11:15" x14ac:dyDescent="0.25">
      <c r="K968" s="15" t="s">
        <v>116</v>
      </c>
      <c r="L968" s="16">
        <v>139</v>
      </c>
      <c r="M968" s="28">
        <f t="shared" ca="1" si="66"/>
        <v>138</v>
      </c>
      <c r="N968" s="28">
        <f t="shared" ca="1" si="67"/>
        <v>158</v>
      </c>
      <c r="O968" s="42">
        <f t="shared" ca="1" si="68"/>
        <v>1</v>
      </c>
    </row>
    <row r="969" spans="11:15" x14ac:dyDescent="0.25">
      <c r="K969" s="15" t="s">
        <v>117</v>
      </c>
      <c r="L969" s="16">
        <v>153</v>
      </c>
      <c r="M969" s="28">
        <f t="shared" ca="1" si="66"/>
        <v>138</v>
      </c>
      <c r="N969" s="28">
        <f t="shared" ca="1" si="67"/>
        <v>158</v>
      </c>
      <c r="O969" s="42">
        <f t="shared" ca="1" si="68"/>
        <v>1</v>
      </c>
    </row>
    <row r="970" spans="11:15" x14ac:dyDescent="0.25">
      <c r="K970" s="15" t="s">
        <v>118</v>
      </c>
      <c r="L970" s="16">
        <v>156</v>
      </c>
      <c r="M970" s="28">
        <f t="shared" ca="1" si="66"/>
        <v>138</v>
      </c>
      <c r="N970" s="28">
        <f t="shared" ca="1" si="67"/>
        <v>158</v>
      </c>
      <c r="O970" s="42">
        <f t="shared" ca="1" si="68"/>
        <v>1</v>
      </c>
    </row>
    <row r="971" spans="11:15" x14ac:dyDescent="0.25">
      <c r="K971" s="15" t="s">
        <v>119</v>
      </c>
      <c r="L971" s="16">
        <v>159</v>
      </c>
      <c r="M971" s="28">
        <f t="shared" ref="M971:M1011" ca="1" si="69">$I$14-epsilon</f>
        <v>138</v>
      </c>
      <c r="N971" s="28">
        <f t="shared" ref="N971:N1011" ca="1" si="70">$I$14+epsilon</f>
        <v>158</v>
      </c>
      <c r="O971" s="42">
        <f t="shared" ca="1" si="68"/>
        <v>0</v>
      </c>
    </row>
    <row r="972" spans="11:15" x14ac:dyDescent="0.25">
      <c r="K972" s="15" t="s">
        <v>120</v>
      </c>
      <c r="L972" s="16">
        <v>145</v>
      </c>
      <c r="M972" s="28">
        <f t="shared" ca="1" si="69"/>
        <v>138</v>
      </c>
      <c r="N972" s="28">
        <f t="shared" ca="1" si="70"/>
        <v>158</v>
      </c>
      <c r="O972" s="42">
        <f t="shared" ca="1" si="68"/>
        <v>1</v>
      </c>
    </row>
    <row r="973" spans="11:15" x14ac:dyDescent="0.25">
      <c r="K973" s="15" t="s">
        <v>121</v>
      </c>
      <c r="L973" s="16">
        <v>167</v>
      </c>
      <c r="M973" s="28">
        <f t="shared" ca="1" si="69"/>
        <v>138</v>
      </c>
      <c r="N973" s="28">
        <f t="shared" ca="1" si="70"/>
        <v>158</v>
      </c>
      <c r="O973" s="42">
        <f t="shared" ref="O973:O1011" ca="1" si="71">IF(AND(L973&gt;=M973,L973&lt;=N973),1,0)</f>
        <v>0</v>
      </c>
    </row>
    <row r="974" spans="11:15" x14ac:dyDescent="0.25">
      <c r="K974" s="15" t="s">
        <v>122</v>
      </c>
      <c r="L974" s="16">
        <v>152</v>
      </c>
      <c r="M974" s="28">
        <f t="shared" ca="1" si="69"/>
        <v>138</v>
      </c>
      <c r="N974" s="28">
        <f t="shared" ca="1" si="70"/>
        <v>158</v>
      </c>
      <c r="O974" s="42">
        <f t="shared" ca="1" si="71"/>
        <v>1</v>
      </c>
    </row>
    <row r="975" spans="11:15" x14ac:dyDescent="0.25">
      <c r="K975" s="15" t="s">
        <v>123</v>
      </c>
      <c r="L975" s="16">
        <v>149</v>
      </c>
      <c r="M975" s="28">
        <f t="shared" ca="1" si="69"/>
        <v>138</v>
      </c>
      <c r="N975" s="28">
        <f t="shared" ca="1" si="70"/>
        <v>158</v>
      </c>
      <c r="O975" s="42">
        <f t="shared" ca="1" si="71"/>
        <v>1</v>
      </c>
    </row>
    <row r="976" spans="11:15" x14ac:dyDescent="0.25">
      <c r="K976" s="15" t="s">
        <v>124</v>
      </c>
      <c r="L976" s="16">
        <v>143</v>
      </c>
      <c r="M976" s="28">
        <f t="shared" ca="1" si="69"/>
        <v>138</v>
      </c>
      <c r="N976" s="28">
        <f t="shared" ca="1" si="70"/>
        <v>158</v>
      </c>
      <c r="O976" s="42">
        <f t="shared" ca="1" si="71"/>
        <v>1</v>
      </c>
    </row>
    <row r="977" spans="11:15" x14ac:dyDescent="0.25">
      <c r="K977" s="15" t="s">
        <v>125</v>
      </c>
      <c r="L977" s="16">
        <v>144</v>
      </c>
      <c r="M977" s="28">
        <f t="shared" ca="1" si="69"/>
        <v>138</v>
      </c>
      <c r="N977" s="28">
        <f t="shared" ca="1" si="70"/>
        <v>158</v>
      </c>
      <c r="O977" s="42">
        <f t="shared" ca="1" si="71"/>
        <v>1</v>
      </c>
    </row>
    <row r="978" spans="11:15" x14ac:dyDescent="0.25">
      <c r="K978" s="15" t="s">
        <v>126</v>
      </c>
      <c r="L978" s="16">
        <v>137</v>
      </c>
      <c r="M978" s="28">
        <f t="shared" ca="1" si="69"/>
        <v>138</v>
      </c>
      <c r="N978" s="28">
        <f t="shared" ca="1" si="70"/>
        <v>158</v>
      </c>
      <c r="O978" s="42">
        <f t="shared" ca="1" si="71"/>
        <v>0</v>
      </c>
    </row>
    <row r="979" spans="11:15" x14ac:dyDescent="0.25">
      <c r="K979" s="15" t="s">
        <v>127</v>
      </c>
      <c r="L979" s="16">
        <v>162</v>
      </c>
      <c r="M979" s="28">
        <f t="shared" ca="1" si="69"/>
        <v>138</v>
      </c>
      <c r="N979" s="28">
        <f t="shared" ca="1" si="70"/>
        <v>158</v>
      </c>
      <c r="O979" s="42">
        <f t="shared" ca="1" si="71"/>
        <v>0</v>
      </c>
    </row>
    <row r="980" spans="11:15" x14ac:dyDescent="0.25">
      <c r="K980" s="15" t="s">
        <v>128</v>
      </c>
      <c r="L980" s="16">
        <v>143</v>
      </c>
      <c r="M980" s="28">
        <f t="shared" ca="1" si="69"/>
        <v>138</v>
      </c>
      <c r="N980" s="28">
        <f t="shared" ca="1" si="70"/>
        <v>158</v>
      </c>
      <c r="O980" s="42">
        <f t="shared" ca="1" si="71"/>
        <v>1</v>
      </c>
    </row>
    <row r="981" spans="11:15" x14ac:dyDescent="0.25">
      <c r="K981" s="15" t="s">
        <v>129</v>
      </c>
      <c r="L981" s="16">
        <v>150</v>
      </c>
      <c r="M981" s="28">
        <f t="shared" ca="1" si="69"/>
        <v>138</v>
      </c>
      <c r="N981" s="28">
        <f t="shared" ca="1" si="70"/>
        <v>158</v>
      </c>
      <c r="O981" s="42">
        <f t="shared" ca="1" si="71"/>
        <v>1</v>
      </c>
    </row>
    <row r="982" spans="11:15" x14ac:dyDescent="0.25">
      <c r="K982" s="15" t="s">
        <v>130</v>
      </c>
      <c r="L982" s="16">
        <v>155</v>
      </c>
      <c r="M982" s="28">
        <f t="shared" ca="1" si="69"/>
        <v>138</v>
      </c>
      <c r="N982" s="28">
        <f t="shared" ca="1" si="70"/>
        <v>158</v>
      </c>
      <c r="O982" s="42">
        <f t="shared" ca="1" si="71"/>
        <v>1</v>
      </c>
    </row>
    <row r="983" spans="11:15" x14ac:dyDescent="0.25">
      <c r="K983" s="15" t="s">
        <v>131</v>
      </c>
      <c r="L983" s="16">
        <v>155</v>
      </c>
      <c r="M983" s="28">
        <f t="shared" ca="1" si="69"/>
        <v>138</v>
      </c>
      <c r="N983" s="28">
        <f t="shared" ca="1" si="70"/>
        <v>158</v>
      </c>
      <c r="O983" s="42">
        <f t="shared" ca="1" si="71"/>
        <v>1</v>
      </c>
    </row>
    <row r="984" spans="11:15" x14ac:dyDescent="0.25">
      <c r="K984" s="15" t="s">
        <v>132</v>
      </c>
      <c r="L984" s="16">
        <v>156</v>
      </c>
      <c r="M984" s="28">
        <f t="shared" ca="1" si="69"/>
        <v>138</v>
      </c>
      <c r="N984" s="28">
        <f t="shared" ca="1" si="70"/>
        <v>158</v>
      </c>
      <c r="O984" s="42">
        <f t="shared" ca="1" si="71"/>
        <v>1</v>
      </c>
    </row>
    <row r="985" spans="11:15" x14ac:dyDescent="0.25">
      <c r="K985" s="15" t="s">
        <v>133</v>
      </c>
      <c r="L985" s="16">
        <v>144</v>
      </c>
      <c r="M985" s="28">
        <f t="shared" ca="1" si="69"/>
        <v>138</v>
      </c>
      <c r="N985" s="28">
        <f t="shared" ca="1" si="70"/>
        <v>158</v>
      </c>
      <c r="O985" s="42">
        <f t="shared" ca="1" si="71"/>
        <v>1</v>
      </c>
    </row>
    <row r="986" spans="11:15" x14ac:dyDescent="0.25">
      <c r="K986" s="15" t="s">
        <v>134</v>
      </c>
      <c r="L986" s="16">
        <v>139</v>
      </c>
      <c r="M986" s="28">
        <f t="shared" ca="1" si="69"/>
        <v>138</v>
      </c>
      <c r="N986" s="28">
        <f t="shared" ca="1" si="70"/>
        <v>158</v>
      </c>
      <c r="O986" s="42">
        <f t="shared" ca="1" si="71"/>
        <v>1</v>
      </c>
    </row>
    <row r="987" spans="11:15" x14ac:dyDescent="0.25">
      <c r="K987" s="15" t="s">
        <v>135</v>
      </c>
      <c r="L987" s="16">
        <v>151</v>
      </c>
      <c r="M987" s="28">
        <f t="shared" ca="1" si="69"/>
        <v>138</v>
      </c>
      <c r="N987" s="28">
        <f t="shared" ca="1" si="70"/>
        <v>158</v>
      </c>
      <c r="O987" s="42">
        <f t="shared" ca="1" si="71"/>
        <v>1</v>
      </c>
    </row>
    <row r="988" spans="11:15" x14ac:dyDescent="0.25">
      <c r="K988" s="15" t="s">
        <v>136</v>
      </c>
      <c r="L988" s="16">
        <v>138</v>
      </c>
      <c r="M988" s="28">
        <f t="shared" ca="1" si="69"/>
        <v>138</v>
      </c>
      <c r="N988" s="28">
        <f t="shared" ca="1" si="70"/>
        <v>158</v>
      </c>
      <c r="O988" s="42">
        <f t="shared" ca="1" si="71"/>
        <v>1</v>
      </c>
    </row>
    <row r="989" spans="11:15" x14ac:dyDescent="0.25">
      <c r="K989" s="15" t="s">
        <v>137</v>
      </c>
      <c r="L989" s="16">
        <v>153</v>
      </c>
      <c r="M989" s="28">
        <f t="shared" ca="1" si="69"/>
        <v>138</v>
      </c>
      <c r="N989" s="28">
        <f t="shared" ca="1" si="70"/>
        <v>158</v>
      </c>
      <c r="O989" s="42">
        <f t="shared" ca="1" si="71"/>
        <v>1</v>
      </c>
    </row>
    <row r="990" spans="11:15" x14ac:dyDescent="0.25">
      <c r="K990" s="15" t="s">
        <v>138</v>
      </c>
      <c r="L990" s="16">
        <v>140</v>
      </c>
      <c r="M990" s="28">
        <f t="shared" ca="1" si="69"/>
        <v>138</v>
      </c>
      <c r="N990" s="28">
        <f t="shared" ca="1" si="70"/>
        <v>158</v>
      </c>
      <c r="O990" s="42">
        <f t="shared" ca="1" si="71"/>
        <v>1</v>
      </c>
    </row>
    <row r="991" spans="11:15" x14ac:dyDescent="0.25">
      <c r="K991" s="15" t="s">
        <v>139</v>
      </c>
      <c r="L991" s="16">
        <v>128</v>
      </c>
      <c r="M991" s="28">
        <f t="shared" ca="1" si="69"/>
        <v>138</v>
      </c>
      <c r="N991" s="28">
        <f t="shared" ca="1" si="70"/>
        <v>158</v>
      </c>
      <c r="O991" s="42">
        <f t="shared" ca="1" si="71"/>
        <v>0</v>
      </c>
    </row>
    <row r="992" spans="11:15" x14ac:dyDescent="0.25">
      <c r="K992" s="15" t="s">
        <v>140</v>
      </c>
      <c r="L992" s="16">
        <v>160</v>
      </c>
      <c r="M992" s="28">
        <f t="shared" ca="1" si="69"/>
        <v>138</v>
      </c>
      <c r="N992" s="28">
        <f t="shared" ca="1" si="70"/>
        <v>158</v>
      </c>
      <c r="O992" s="42">
        <f t="shared" ca="1" si="71"/>
        <v>0</v>
      </c>
    </row>
    <row r="993" spans="11:15" x14ac:dyDescent="0.25">
      <c r="K993" s="15" t="s">
        <v>141</v>
      </c>
      <c r="L993" s="16">
        <v>145</v>
      </c>
      <c r="M993" s="28">
        <f t="shared" ca="1" si="69"/>
        <v>138</v>
      </c>
      <c r="N993" s="28">
        <f t="shared" ca="1" si="70"/>
        <v>158</v>
      </c>
      <c r="O993" s="42">
        <f t="shared" ca="1" si="71"/>
        <v>1</v>
      </c>
    </row>
    <row r="994" spans="11:15" x14ac:dyDescent="0.25">
      <c r="K994" s="15" t="s">
        <v>142</v>
      </c>
      <c r="L994" s="16">
        <v>137</v>
      </c>
      <c r="M994" s="28">
        <f t="shared" ca="1" si="69"/>
        <v>138</v>
      </c>
      <c r="N994" s="28">
        <f t="shared" ca="1" si="70"/>
        <v>158</v>
      </c>
      <c r="O994" s="42">
        <f t="shared" ca="1" si="71"/>
        <v>0</v>
      </c>
    </row>
    <row r="995" spans="11:15" x14ac:dyDescent="0.25">
      <c r="K995" s="15" t="s">
        <v>143</v>
      </c>
      <c r="L995" s="16">
        <v>163</v>
      </c>
      <c r="M995" s="28">
        <f t="shared" ca="1" si="69"/>
        <v>138</v>
      </c>
      <c r="N995" s="28">
        <f t="shared" ca="1" si="70"/>
        <v>158</v>
      </c>
      <c r="O995" s="42">
        <f t="shared" ca="1" si="71"/>
        <v>0</v>
      </c>
    </row>
    <row r="996" spans="11:15" x14ac:dyDescent="0.25">
      <c r="K996" s="15" t="s">
        <v>144</v>
      </c>
      <c r="L996" s="16">
        <v>130</v>
      </c>
      <c r="M996" s="28">
        <f t="shared" ca="1" si="69"/>
        <v>138</v>
      </c>
      <c r="N996" s="28">
        <f t="shared" ca="1" si="70"/>
        <v>158</v>
      </c>
      <c r="O996" s="42">
        <f t="shared" ca="1" si="71"/>
        <v>0</v>
      </c>
    </row>
    <row r="997" spans="11:15" x14ac:dyDescent="0.25">
      <c r="K997" s="15" t="s">
        <v>145</v>
      </c>
      <c r="L997" s="16">
        <v>153</v>
      </c>
      <c r="M997" s="28">
        <f t="shared" ca="1" si="69"/>
        <v>138</v>
      </c>
      <c r="N997" s="28">
        <f t="shared" ca="1" si="70"/>
        <v>158</v>
      </c>
      <c r="O997" s="42">
        <f t="shared" ca="1" si="71"/>
        <v>1</v>
      </c>
    </row>
    <row r="998" spans="11:15" x14ac:dyDescent="0.25">
      <c r="K998" s="15" t="s">
        <v>146</v>
      </c>
      <c r="L998" s="16">
        <v>145</v>
      </c>
      <c r="M998" s="28">
        <f t="shared" ca="1" si="69"/>
        <v>138</v>
      </c>
      <c r="N998" s="28">
        <f t="shared" ca="1" si="70"/>
        <v>158</v>
      </c>
      <c r="O998" s="42">
        <f t="shared" ca="1" si="71"/>
        <v>1</v>
      </c>
    </row>
    <row r="999" spans="11:15" x14ac:dyDescent="0.25">
      <c r="K999" s="15" t="s">
        <v>147</v>
      </c>
      <c r="L999" s="16">
        <v>143</v>
      </c>
      <c r="M999" s="28">
        <f t="shared" ca="1" si="69"/>
        <v>138</v>
      </c>
      <c r="N999" s="28">
        <f t="shared" ca="1" si="70"/>
        <v>158</v>
      </c>
      <c r="O999" s="42">
        <f t="shared" ca="1" si="71"/>
        <v>1</v>
      </c>
    </row>
    <row r="1000" spans="11:15" x14ac:dyDescent="0.25">
      <c r="K1000" s="15" t="s">
        <v>148</v>
      </c>
      <c r="L1000" s="16">
        <v>145</v>
      </c>
      <c r="M1000" s="28">
        <f t="shared" ca="1" si="69"/>
        <v>138</v>
      </c>
      <c r="N1000" s="28">
        <f t="shared" ca="1" si="70"/>
        <v>158</v>
      </c>
      <c r="O1000" s="42">
        <f t="shared" ca="1" si="71"/>
        <v>1</v>
      </c>
    </row>
    <row r="1001" spans="11:15" x14ac:dyDescent="0.25">
      <c r="K1001" s="15" t="s">
        <v>149</v>
      </c>
      <c r="L1001" s="16">
        <v>154</v>
      </c>
      <c r="M1001" s="28">
        <f t="shared" ca="1" si="69"/>
        <v>138</v>
      </c>
      <c r="N1001" s="28">
        <f t="shared" ca="1" si="70"/>
        <v>158</v>
      </c>
      <c r="O1001" s="42">
        <f t="shared" ca="1" si="71"/>
        <v>1</v>
      </c>
    </row>
    <row r="1002" spans="11:15" x14ac:dyDescent="0.25">
      <c r="K1002" s="15" t="s">
        <v>150</v>
      </c>
      <c r="L1002" s="16">
        <v>134</v>
      </c>
      <c r="M1002" s="28">
        <f t="shared" ca="1" si="69"/>
        <v>138</v>
      </c>
      <c r="N1002" s="28">
        <f t="shared" ca="1" si="70"/>
        <v>158</v>
      </c>
      <c r="O1002" s="42">
        <f t="shared" ca="1" si="71"/>
        <v>0</v>
      </c>
    </row>
    <row r="1003" spans="11:15" x14ac:dyDescent="0.25">
      <c r="K1003" s="15" t="s">
        <v>151</v>
      </c>
      <c r="L1003" s="16">
        <v>149</v>
      </c>
      <c r="M1003" s="28">
        <f t="shared" ca="1" si="69"/>
        <v>138</v>
      </c>
      <c r="N1003" s="28">
        <f t="shared" ca="1" si="70"/>
        <v>158</v>
      </c>
      <c r="O1003" s="42">
        <f t="shared" ca="1" si="71"/>
        <v>1</v>
      </c>
    </row>
    <row r="1004" spans="11:15" x14ac:dyDescent="0.25">
      <c r="K1004" s="15" t="s">
        <v>152</v>
      </c>
      <c r="L1004" s="16">
        <v>156</v>
      </c>
      <c r="M1004" s="28">
        <f t="shared" ca="1" si="69"/>
        <v>138</v>
      </c>
      <c r="N1004" s="28">
        <f t="shared" ca="1" si="70"/>
        <v>158</v>
      </c>
      <c r="O1004" s="42">
        <f t="shared" ca="1" si="71"/>
        <v>1</v>
      </c>
    </row>
    <row r="1005" spans="11:15" x14ac:dyDescent="0.25">
      <c r="K1005" s="15" t="s">
        <v>153</v>
      </c>
      <c r="L1005" s="16">
        <v>151</v>
      </c>
      <c r="M1005" s="28">
        <f t="shared" ca="1" si="69"/>
        <v>138</v>
      </c>
      <c r="N1005" s="28">
        <f t="shared" ca="1" si="70"/>
        <v>158</v>
      </c>
      <c r="O1005" s="42">
        <f t="shared" ca="1" si="71"/>
        <v>1</v>
      </c>
    </row>
    <row r="1006" spans="11:15" x14ac:dyDescent="0.25">
      <c r="K1006" s="15" t="s">
        <v>154</v>
      </c>
      <c r="L1006" s="16">
        <v>154</v>
      </c>
      <c r="M1006" s="28">
        <f t="shared" ca="1" si="69"/>
        <v>138</v>
      </c>
      <c r="N1006" s="28">
        <f t="shared" ca="1" si="70"/>
        <v>158</v>
      </c>
      <c r="O1006" s="42">
        <f t="shared" ca="1" si="71"/>
        <v>1</v>
      </c>
    </row>
    <row r="1007" spans="11:15" x14ac:dyDescent="0.25">
      <c r="K1007" s="15" t="s">
        <v>155</v>
      </c>
      <c r="L1007" s="16">
        <v>149</v>
      </c>
      <c r="M1007" s="28">
        <f t="shared" ca="1" si="69"/>
        <v>138</v>
      </c>
      <c r="N1007" s="28">
        <f t="shared" ca="1" si="70"/>
        <v>158</v>
      </c>
      <c r="O1007" s="42">
        <f t="shared" ca="1" si="71"/>
        <v>1</v>
      </c>
    </row>
    <row r="1008" spans="11:15" x14ac:dyDescent="0.25">
      <c r="K1008" s="15" t="s">
        <v>156</v>
      </c>
      <c r="L1008" s="16">
        <v>143</v>
      </c>
      <c r="M1008" s="28">
        <f t="shared" ca="1" si="69"/>
        <v>138</v>
      </c>
      <c r="N1008" s="28">
        <f t="shared" ca="1" si="70"/>
        <v>158</v>
      </c>
      <c r="O1008" s="42">
        <f t="shared" ca="1" si="71"/>
        <v>1</v>
      </c>
    </row>
    <row r="1009" spans="11:15" x14ac:dyDescent="0.25">
      <c r="K1009" s="15" t="s">
        <v>157</v>
      </c>
      <c r="L1009" s="16">
        <v>135</v>
      </c>
      <c r="M1009" s="28">
        <f t="shared" ca="1" si="69"/>
        <v>138</v>
      </c>
      <c r="N1009" s="28">
        <f t="shared" ca="1" si="70"/>
        <v>158</v>
      </c>
      <c r="O1009" s="42">
        <f t="shared" ca="1" si="71"/>
        <v>0</v>
      </c>
    </row>
    <row r="1010" spans="11:15" x14ac:dyDescent="0.25">
      <c r="K1010" s="15" t="s">
        <v>158</v>
      </c>
      <c r="L1010" s="16">
        <v>139</v>
      </c>
      <c r="M1010" s="28">
        <f t="shared" ca="1" si="69"/>
        <v>138</v>
      </c>
      <c r="N1010" s="28">
        <f t="shared" ca="1" si="70"/>
        <v>158</v>
      </c>
      <c r="O1010" s="42">
        <f t="shared" ca="1" si="71"/>
        <v>1</v>
      </c>
    </row>
    <row r="1011" spans="11:15" ht="15.75" thickBot="1" x14ac:dyDescent="0.3">
      <c r="K1011" s="15" t="s">
        <v>159</v>
      </c>
      <c r="L1011" s="16">
        <v>130</v>
      </c>
      <c r="M1011" s="28">
        <f t="shared" ca="1" si="69"/>
        <v>138</v>
      </c>
      <c r="N1011" s="28">
        <f t="shared" ca="1" si="70"/>
        <v>158</v>
      </c>
      <c r="O1011" s="43">
        <f t="shared" ca="1" si="71"/>
        <v>0</v>
      </c>
    </row>
  </sheetData>
  <mergeCells count="5">
    <mergeCell ref="C9:C10"/>
    <mergeCell ref="D9:D10"/>
    <mergeCell ref="F9:F10"/>
    <mergeCell ref="M10:N10"/>
    <mergeCell ref="O9:O10"/>
  </mergeCells>
  <phoneticPr fontId="2" type="noConversion"/>
  <pageMargins left="0.75" right="0.75" top="1" bottom="1" header="0" footer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Hoja1</vt:lpstr>
      <vt:lpstr>epsilon</vt:lpstr>
      <vt:lpstr>N</vt:lpstr>
      <vt:lpstr>numsims</vt:lpstr>
      <vt:lpstr>p</vt:lpstr>
      <vt:lpstr>rho</vt:lpstr>
      <vt:lpstr>sigma</vt:lpstr>
      <vt:lpstr>sims</vt:lpstr>
    </vt:vector>
  </TitlesOfParts>
  <Company>Universidad Autónoma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Fernández Gallardo</dc:creator>
  <cp:lastModifiedBy>José María Contreras Beltrán</cp:lastModifiedBy>
  <dcterms:created xsi:type="dcterms:W3CDTF">2009-02-06T15:00:23Z</dcterms:created>
  <dcterms:modified xsi:type="dcterms:W3CDTF">2023-02-05T17:56:50Z</dcterms:modified>
</cp:coreProperties>
</file>