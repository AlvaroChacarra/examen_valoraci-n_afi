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730" codeName="{80610A8E-5010-04F8-B4C4-4C452766216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Consultoria\FORMACION\MASTERS CUANTITATIVOS\MEFC 2025\Valoración\Chema\Sesión III\Ejercicios\"/>
    </mc:Choice>
  </mc:AlternateContent>
  <xr:revisionPtr revIDLastSave="0" documentId="13_ncr:1_{DE006235-54C0-43A8-8628-ACCB08EA462D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Hoja1" sheetId="1" r:id="rId1"/>
    <sheet name="Hoja2" sheetId="2" state="hidden" r:id="rId2"/>
  </sheets>
  <functionGroups builtInGroupCount="19"/>
  <definedNames>
    <definedName name="callput" localSheetId="1">Hoja2!$H$63</definedName>
    <definedName name="callput">Hoja1!$H$63</definedName>
    <definedName name="deltat" localSheetId="1">Hoja2!$E$4</definedName>
    <definedName name="deltat">Hoja1!$E$4</definedName>
    <definedName name="factorVola" localSheetId="1">Hoja2!$H$19</definedName>
    <definedName name="factorVola">Hoja1!$H$19</definedName>
    <definedName name="nuevostiempos" localSheetId="1">Hoja2!$E$22:$K$22</definedName>
    <definedName name="nuevostiempos">Hoja1!$E$22:$K$22</definedName>
    <definedName name="pasovola" localSheetId="1">Hoja2!$E$19</definedName>
    <definedName name="pasovola">Hoja1!$E$19</definedName>
    <definedName name="S0" localSheetId="1">Hoja2!$E$13</definedName>
    <definedName name="S0">Hoja1!$E$13</definedName>
    <definedName name="strike" localSheetId="1">Hoja2!$F$63</definedName>
    <definedName name="strike">Hoja1!$F$63</definedName>
    <definedName name="T" localSheetId="1">Hoja2!$E$3</definedName>
    <definedName name="T">Hoja1!$E$3</definedName>
  </definedNames>
  <calcPr calcId="191029" calcCompleted="0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2" i="2" l="1"/>
  <c r="K89" i="2"/>
  <c r="K90" i="2" s="1"/>
  <c r="J89" i="2"/>
  <c r="J90" i="2" s="1"/>
  <c r="I89" i="2"/>
  <c r="I90" i="2" s="1"/>
  <c r="H89" i="2"/>
  <c r="H90" i="2" s="1"/>
  <c r="G89" i="2"/>
  <c r="G90" i="2" s="1"/>
  <c r="F89" i="2"/>
  <c r="F90" i="2" s="1"/>
  <c r="G63" i="2"/>
  <c r="M56" i="2"/>
  <c r="M55" i="2"/>
  <c r="M54" i="2"/>
  <c r="M53" i="2"/>
  <c r="M52" i="2"/>
  <c r="M51" i="2"/>
  <c r="M50" i="2"/>
  <c r="R47" i="2"/>
  <c r="Q23" i="2"/>
  <c r="Q22" i="2"/>
  <c r="Q21" i="2"/>
  <c r="Q19" i="2" a="1"/>
  <c r="Q20" i="2" s="1"/>
  <c r="E4" i="2"/>
  <c r="R47" i="1"/>
  <c r="S9" i="2"/>
  <c r="S14" i="2"/>
  <c r="S13" i="2"/>
  <c r="S12" i="2"/>
  <c r="S11" i="2"/>
  <c r="S10" i="2"/>
  <c r="H91" i="2" l="1"/>
  <c r="E23" i="2"/>
  <c r="K10" i="2"/>
  <c r="K16" i="2" s="1"/>
  <c r="E17" i="2" s="1"/>
  <c r="E18" i="2" s="1"/>
  <c r="E19" i="2" s="1"/>
  <c r="J10" i="2"/>
  <c r="J16" i="2" s="1"/>
  <c r="H10" i="2"/>
  <c r="H16" i="2" s="1"/>
  <c r="I10" i="2"/>
  <c r="I16" i="2" s="1"/>
  <c r="G10" i="2"/>
  <c r="G16" i="2" s="1"/>
  <c r="E22" i="2" a="1"/>
  <c r="R18" i="2" a="1"/>
  <c r="E10" i="2"/>
  <c r="F10" i="2"/>
  <c r="F16" i="2" s="1"/>
  <c r="G91" i="2"/>
  <c r="F91" i="2"/>
  <c r="K91" i="2"/>
  <c r="J91" i="2"/>
  <c r="I91" i="2"/>
  <c r="Q24" i="2"/>
  <c r="Q19" i="2"/>
  <c r="E92" i="1"/>
  <c r="K89" i="1"/>
  <c r="K90" i="1" s="1"/>
  <c r="J89" i="1"/>
  <c r="J90" i="1" s="1"/>
  <c r="I89" i="1"/>
  <c r="I90" i="1" s="1"/>
  <c r="H89" i="1"/>
  <c r="H90" i="1" s="1"/>
  <c r="G89" i="1"/>
  <c r="G90" i="1" s="1"/>
  <c r="F89" i="1"/>
  <c r="F90" i="1" s="1"/>
  <c r="F91" i="1" s="1"/>
  <c r="K22" i="2" l="1"/>
  <c r="J22" i="2"/>
  <c r="G22" i="2"/>
  <c r="E22" i="2"/>
  <c r="F22" i="2"/>
  <c r="I22" i="2"/>
  <c r="H22" i="2"/>
  <c r="P8" i="2" a="1"/>
  <c r="R22" i="2"/>
  <c r="R21" i="2"/>
  <c r="R19" i="2"/>
  <c r="R24" i="2"/>
  <c r="R23" i="2"/>
  <c r="R20" i="2"/>
  <c r="R18" i="2"/>
  <c r="F31" i="2"/>
  <c r="R9" i="2"/>
  <c r="R13" i="2"/>
  <c r="R8" i="2"/>
  <c r="R11" i="2"/>
  <c r="R10" i="2"/>
  <c r="F32" i="2"/>
  <c r="G33" i="2" s="1"/>
  <c r="H34" i="2" s="1"/>
  <c r="I35" i="2" s="1"/>
  <c r="J36" i="2" s="1"/>
  <c r="K37" i="2" s="1"/>
  <c r="I19" i="2"/>
  <c r="H19" i="2"/>
  <c r="R14" i="2"/>
  <c r="R12" i="2"/>
  <c r="E24" i="2"/>
  <c r="P18" i="2" a="1"/>
  <c r="Q8" i="2" a="1"/>
  <c r="K91" i="1"/>
  <c r="G91" i="1"/>
  <c r="H91" i="1"/>
  <c r="I91" i="1"/>
  <c r="J91" i="1"/>
  <c r="M51" i="1"/>
  <c r="M52" i="1"/>
  <c r="M53" i="1"/>
  <c r="M54" i="1"/>
  <c r="M55" i="1"/>
  <c r="M56" i="1"/>
  <c r="M50" i="1"/>
  <c r="S19" i="2"/>
  <c r="S23" i="2"/>
  <c r="S21" i="2"/>
  <c r="S24" i="2"/>
  <c r="S22" i="2"/>
  <c r="S20" i="2"/>
  <c r="G23" i="2" l="1"/>
  <c r="G41" i="2" s="1"/>
  <c r="I23" i="2"/>
  <c r="E23" i="2" a="1"/>
  <c r="K23" i="2"/>
  <c r="K24" i="2" s="1"/>
  <c r="J25" i="2" s="1"/>
  <c r="H23" i="2"/>
  <c r="H41" i="2" s="1"/>
  <c r="H53" i="2" s="1"/>
  <c r="J23" i="2"/>
  <c r="F23" i="2"/>
  <c r="G24" i="2"/>
  <c r="I24" i="2"/>
  <c r="J24" i="2"/>
  <c r="I25" i="2" s="1"/>
  <c r="K41" i="2"/>
  <c r="K56" i="2" s="1"/>
  <c r="J41" i="2"/>
  <c r="J55" i="2" s="1"/>
  <c r="H24" i="2"/>
  <c r="H25" i="2" s="1"/>
  <c r="I43" i="2"/>
  <c r="G43" i="2"/>
  <c r="K44" i="2"/>
  <c r="H44" i="2"/>
  <c r="G44" i="2"/>
  <c r="G52" i="2" s="1"/>
  <c r="E44" i="2"/>
  <c r="E50" i="2" s="1"/>
  <c r="J44" i="2"/>
  <c r="I44" i="2"/>
  <c r="F44" i="2"/>
  <c r="F45" i="2"/>
  <c r="G45" i="2" s="1"/>
  <c r="H45" i="2" s="1"/>
  <c r="I45" i="2" s="1"/>
  <c r="J45" i="2" s="1"/>
  <c r="K45" i="2" s="1"/>
  <c r="G32" i="2"/>
  <c r="H33" i="2" s="1"/>
  <c r="I34" i="2" s="1"/>
  <c r="J35" i="2" s="1"/>
  <c r="K36" i="2" s="1"/>
  <c r="G31" i="2"/>
  <c r="I41" i="2"/>
  <c r="E78" i="2" a="1"/>
  <c r="E67" i="2" a="1"/>
  <c r="E40" i="2" a="1"/>
  <c r="E30" i="2" a="1"/>
  <c r="E49" i="2" a="1"/>
  <c r="E88" i="2" a="1"/>
  <c r="K43" i="2"/>
  <c r="P8" i="2"/>
  <c r="P14" i="2"/>
  <c r="P13" i="2"/>
  <c r="P12" i="2"/>
  <c r="P11" i="2"/>
  <c r="P10" i="2"/>
  <c r="P9" i="2"/>
  <c r="Q11" i="2"/>
  <c r="Q8" i="2"/>
  <c r="Q10" i="2"/>
  <c r="Q9" i="2"/>
  <c r="Q14" i="2"/>
  <c r="Q13" i="2"/>
  <c r="Q12" i="2"/>
  <c r="P22" i="2"/>
  <c r="P21" i="2"/>
  <c r="P24" i="2"/>
  <c r="P23" i="2"/>
  <c r="P20" i="2"/>
  <c r="P19" i="2"/>
  <c r="P18" i="2"/>
  <c r="J43" i="2" l="1"/>
  <c r="F41" i="2"/>
  <c r="F51" i="2" s="1"/>
  <c r="F24" i="2"/>
  <c r="H52" i="2"/>
  <c r="K55" i="2"/>
  <c r="K73" i="2" s="1"/>
  <c r="J73" i="2" s="1"/>
  <c r="H43" i="2"/>
  <c r="G25" i="2"/>
  <c r="K49" i="2"/>
  <c r="H49" i="2"/>
  <c r="G49" i="2"/>
  <c r="F49" i="2"/>
  <c r="E49" i="2"/>
  <c r="J49" i="2"/>
  <c r="I49" i="2"/>
  <c r="K74" i="2"/>
  <c r="P56" i="2"/>
  <c r="I40" i="2"/>
  <c r="H40" i="2"/>
  <c r="G40" i="2"/>
  <c r="J40" i="2"/>
  <c r="K40" i="2"/>
  <c r="F40" i="2"/>
  <c r="E40" i="2"/>
  <c r="J54" i="2"/>
  <c r="I88" i="2"/>
  <c r="H88" i="2"/>
  <c r="G88" i="2"/>
  <c r="F88" i="2"/>
  <c r="K88" i="2"/>
  <c r="J88" i="2"/>
  <c r="E88" i="2"/>
  <c r="G51" i="2"/>
  <c r="F50" i="2"/>
  <c r="G50" i="2"/>
  <c r="G92" i="2" s="1"/>
  <c r="J67" i="2"/>
  <c r="I67" i="2"/>
  <c r="H67" i="2"/>
  <c r="G67" i="2"/>
  <c r="E67" i="2"/>
  <c r="K67" i="2"/>
  <c r="F67" i="2"/>
  <c r="I54" i="2"/>
  <c r="I53" i="2"/>
  <c r="K30" i="2"/>
  <c r="J30" i="2"/>
  <c r="G30" i="2"/>
  <c r="F30" i="2"/>
  <c r="E30" i="2"/>
  <c r="I30" i="2"/>
  <c r="H30" i="2"/>
  <c r="F78" i="2"/>
  <c r="E78" i="2"/>
  <c r="K78" i="2"/>
  <c r="J78" i="2"/>
  <c r="I78" i="2"/>
  <c r="H78" i="2"/>
  <c r="G78" i="2"/>
  <c r="H32" i="2"/>
  <c r="H31" i="2"/>
  <c r="H50" i="2" s="1"/>
  <c r="E4" i="1"/>
  <c r="K10" i="1" s="1"/>
  <c r="P55" i="2" l="1"/>
  <c r="F92" i="2"/>
  <c r="F43" i="2"/>
  <c r="E25" i="2"/>
  <c r="F25" i="2"/>
  <c r="I33" i="2"/>
  <c r="H51" i="2"/>
  <c r="H92" i="2" s="1"/>
  <c r="J84" i="2"/>
  <c r="I32" i="2"/>
  <c r="I31" i="2"/>
  <c r="H10" i="1"/>
  <c r="G63" i="1"/>
  <c r="E10" i="1"/>
  <c r="I10" i="1"/>
  <c r="F10" i="1"/>
  <c r="J10" i="1"/>
  <c r="G10" i="1"/>
  <c r="F42" i="2" l="1"/>
  <c r="I42" i="2"/>
  <c r="G42" i="2"/>
  <c r="J42" i="2"/>
  <c r="K42" i="2"/>
  <c r="H42" i="2"/>
  <c r="J32" i="2"/>
  <c r="J31" i="2"/>
  <c r="I50" i="2"/>
  <c r="J33" i="2"/>
  <c r="I51" i="2"/>
  <c r="J34" i="2"/>
  <c r="I52" i="2"/>
  <c r="I92" i="2" l="1"/>
  <c r="K34" i="2"/>
  <c r="K53" i="2" s="1"/>
  <c r="J52" i="2"/>
  <c r="K32" i="2"/>
  <c r="K51" i="2" s="1"/>
  <c r="K31" i="2"/>
  <c r="K50" i="2" s="1"/>
  <c r="J50" i="2"/>
  <c r="K35" i="2"/>
  <c r="K54" i="2" s="1"/>
  <c r="J53" i="2"/>
  <c r="K33" i="2"/>
  <c r="K52" i="2" s="1"/>
  <c r="J51" i="2"/>
  <c r="J92" i="2" l="1"/>
  <c r="P50" i="2"/>
  <c r="K68" i="2"/>
  <c r="N48" i="2"/>
  <c r="K69" i="2"/>
  <c r="P51" i="2"/>
  <c r="K72" i="2"/>
  <c r="P54" i="2"/>
  <c r="P52" i="2"/>
  <c r="K70" i="2"/>
  <c r="K71" i="2"/>
  <c r="P53" i="2"/>
  <c r="K92" i="2"/>
  <c r="M93" i="2" s="1"/>
  <c r="J80" i="2" l="1"/>
  <c r="J69" i="2"/>
  <c r="J82" i="2"/>
  <c r="J71" i="2"/>
  <c r="J81" i="2"/>
  <c r="J93" i="2" s="1"/>
  <c r="J97" i="2" s="1"/>
  <c r="J70" i="2"/>
  <c r="J79" i="2"/>
  <c r="J68" i="2"/>
  <c r="J83" i="2"/>
  <c r="J72" i="2"/>
  <c r="R51" i="2"/>
  <c r="R50" i="2"/>
  <c r="R52" i="2" l="1"/>
  <c r="R53" i="2" s="1"/>
  <c r="I80" i="2"/>
  <c r="I69" i="2"/>
  <c r="I83" i="2"/>
  <c r="I72" i="2"/>
  <c r="I79" i="2"/>
  <c r="I68" i="2"/>
  <c r="I81" i="2"/>
  <c r="I70" i="2"/>
  <c r="I82" i="2"/>
  <c r="I71" i="2"/>
  <c r="E49" i="1" a="1"/>
  <c r="J49" i="1" s="1"/>
  <c r="E67" i="1" a="1"/>
  <c r="I67" i="1" s="1"/>
  <c r="E88" i="1" a="1"/>
  <c r="G88" i="1" s="1"/>
  <c r="E78" i="1" a="1"/>
  <c r="H78" i="1" s="1"/>
  <c r="I93" i="2" l="1"/>
  <c r="I97" i="2" s="1"/>
  <c r="H82" i="2"/>
  <c r="H71" i="2"/>
  <c r="H67" i="1"/>
  <c r="H81" i="2"/>
  <c r="H70" i="2"/>
  <c r="G49" i="1"/>
  <c r="F67" i="1"/>
  <c r="E67" i="1"/>
  <c r="E49" i="1"/>
  <c r="H79" i="2"/>
  <c r="H68" i="2"/>
  <c r="H49" i="1"/>
  <c r="H80" i="2"/>
  <c r="H69" i="2"/>
  <c r="I49" i="1"/>
  <c r="K49" i="1"/>
  <c r="F49" i="1"/>
  <c r="G78" i="1"/>
  <c r="J78" i="1"/>
  <c r="G67" i="1"/>
  <c r="I78" i="1"/>
  <c r="K78" i="1"/>
  <c r="E78" i="1"/>
  <c r="F78" i="1"/>
  <c r="K67" i="1"/>
  <c r="I88" i="1"/>
  <c r="J88" i="1"/>
  <c r="J67" i="1"/>
  <c r="F88" i="1"/>
  <c r="H88" i="1"/>
  <c r="E88" i="1"/>
  <c r="K88" i="1"/>
  <c r="H93" i="2" l="1"/>
  <c r="H97" i="2" s="1"/>
  <c r="G80" i="2"/>
  <c r="G69" i="2"/>
  <c r="G79" i="2"/>
  <c r="G68" i="2"/>
  <c r="G81" i="2"/>
  <c r="G70" i="2"/>
  <c r="G93" i="2" l="1"/>
  <c r="G97" i="2" s="1"/>
  <c r="F80" i="2"/>
  <c r="F69" i="2"/>
  <c r="F79" i="2"/>
  <c r="F68" i="2"/>
  <c r="G92" i="1"/>
  <c r="K73" i="1"/>
  <c r="K71" i="1"/>
  <c r="K74" i="1"/>
  <c r="K72" i="1"/>
  <c r="K69" i="1"/>
  <c r="K68" i="1"/>
  <c r="K70" i="1"/>
  <c r="F92" i="1" l="1"/>
  <c r="F93" i="2"/>
  <c r="F97" i="2" s="1"/>
  <c r="E79" i="2"/>
  <c r="E93" i="2" s="1"/>
  <c r="E97" i="2" s="1"/>
  <c r="E68" i="2"/>
  <c r="E99" i="2" s="1"/>
  <c r="E98" i="2" s="1"/>
  <c r="J92" i="1"/>
  <c r="I92" i="1"/>
  <c r="H92" i="1"/>
  <c r="P52" i="1"/>
  <c r="P56" i="1"/>
  <c r="P50" i="1"/>
  <c r="N48" i="1"/>
  <c r="P53" i="1"/>
  <c r="K92" i="1"/>
  <c r="M93" i="1" s="1"/>
  <c r="P51" i="1"/>
  <c r="P55" i="1"/>
  <c r="P54" i="1"/>
  <c r="F98" i="2" l="1"/>
  <c r="G98" i="2" s="1"/>
  <c r="H98" i="2" s="1"/>
  <c r="I98" i="2" s="1"/>
  <c r="J98" i="2" s="1"/>
  <c r="K99" i="2" s="1"/>
  <c r="J83" i="1"/>
  <c r="J72" i="1"/>
  <c r="J80" i="1"/>
  <c r="J69" i="1"/>
  <c r="J73" i="1"/>
  <c r="J84" i="1"/>
  <c r="R50" i="1"/>
  <c r="R51" i="1"/>
  <c r="J70" i="1"/>
  <c r="J81" i="1"/>
  <c r="J71" i="1"/>
  <c r="J82" i="1"/>
  <c r="J68" i="1"/>
  <c r="J79" i="1"/>
  <c r="R52" i="1" l="1"/>
  <c r="R53" i="1" s="1"/>
  <c r="J93" i="1"/>
  <c r="J97" i="1" s="1"/>
  <c r="I83" i="1"/>
  <c r="I80" i="1"/>
  <c r="I69" i="1"/>
  <c r="I82" i="1"/>
  <c r="I71" i="1"/>
  <c r="I68" i="1"/>
  <c r="I79" i="1"/>
  <c r="I81" i="1"/>
  <c r="I70" i="1"/>
  <c r="I72" i="1"/>
  <c r="I93" i="1" l="1"/>
  <c r="I97" i="1" s="1"/>
  <c r="H70" i="1"/>
  <c r="H81" i="1"/>
  <c r="H82" i="1"/>
  <c r="H71" i="1"/>
  <c r="H80" i="1"/>
  <c r="H69" i="1"/>
  <c r="H79" i="1"/>
  <c r="H68" i="1"/>
  <c r="H93" i="1" l="1"/>
  <c r="H97" i="1" s="1"/>
  <c r="G69" i="1"/>
  <c r="G80" i="1"/>
  <c r="G68" i="1"/>
  <c r="G79" i="1"/>
  <c r="G70" i="1"/>
  <c r="G81" i="1"/>
  <c r="G93" i="1" l="1"/>
  <c r="G97" i="1" s="1"/>
  <c r="F68" i="1"/>
  <c r="F79" i="1"/>
  <c r="F69" i="1"/>
  <c r="F80" i="1"/>
  <c r="F93" i="1" l="1"/>
  <c r="F97" i="1" s="1"/>
  <c r="E79" i="1"/>
  <c r="E93" i="1" s="1"/>
  <c r="E68" i="1"/>
  <c r="E99" i="1" s="1"/>
  <c r="E97" i="1" l="1"/>
  <c r="E98" i="1" l="1"/>
  <c r="F98" i="1" s="1"/>
  <c r="G98" i="1" s="1"/>
  <c r="H98" i="1" s="1"/>
  <c r="I98" i="1" s="1"/>
  <c r="J98" i="1" s="1"/>
  <c r="K99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Pablo</author>
  </authors>
  <commentList>
    <comment ref="S9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jcontreras: este código hace interpolación lineal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10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la escala original de tiempos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22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jcontreras: los nuevos instantes del árbol (acomodados a la estructura temporal de las volatilidades)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41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 xml:space="preserve">jcontreras: varias maneras de calcular la deriva (acumulada) por tipos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99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jcontreras: valor inicial= prima de la opción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99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jcontreras: valor a mercado de la cartera cuando vence la opción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Pablo</author>
  </authors>
  <commentList>
    <comment ref="S9" authorId="0" shapeId="0" xr:uid="{97B304E4-9617-46A5-9C6D-2028DC69F591}">
      <text>
        <r>
          <rPr>
            <b/>
            <sz val="9"/>
            <color indexed="81"/>
            <rFont val="Tahoma"/>
            <family val="2"/>
          </rPr>
          <t>jcontreras: este código hace interpolación lineal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10" authorId="0" shapeId="0" xr:uid="{AEA7EE26-C5B1-416C-84AB-A20F7D602EA1}">
      <text>
        <r>
          <rPr>
            <b/>
            <sz val="9"/>
            <color indexed="81"/>
            <rFont val="Tahoma"/>
            <family val="2"/>
          </rPr>
          <t>la escala original de tiempos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22" authorId="0" shapeId="0" xr:uid="{F5CD01C2-F3C4-4557-A306-623E1F0C5B2D}">
      <text>
        <r>
          <rPr>
            <b/>
            <sz val="9"/>
            <color indexed="81"/>
            <rFont val="Tahoma"/>
            <family val="2"/>
          </rPr>
          <t>jcontreras: los nuevos instantes del árbol (acomodados a la estructura temporal de las volatilidades)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41" authorId="0" shapeId="0" xr:uid="{1AF51685-0180-41A9-AFEA-3490D9D7E0D3}">
      <text>
        <r>
          <rPr>
            <b/>
            <sz val="9"/>
            <color indexed="81"/>
            <rFont val="Tahoma"/>
            <family val="2"/>
          </rPr>
          <t xml:space="preserve">jcontreras: varias maneras de calcular la deriva (acumulada) por tipos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99" authorId="0" shapeId="0" xr:uid="{E46534FF-B3D6-4662-9D92-91A84B4DF86E}">
      <text>
        <r>
          <rPr>
            <b/>
            <sz val="9"/>
            <color indexed="81"/>
            <rFont val="Tahoma"/>
            <family val="2"/>
          </rPr>
          <t>jcontreras: valor inicial= prima de la opción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99" authorId="0" shapeId="0" xr:uid="{A1918A2B-9C27-4B54-8EC0-B320246A51A0}">
      <text>
        <r>
          <rPr>
            <b/>
            <sz val="9"/>
            <color indexed="81"/>
            <rFont val="Tahoma"/>
            <family val="2"/>
          </rPr>
          <t>jcontreras: valor a mercado de la cartera cuando vence la opción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<sst xmlns="http://schemas.openxmlformats.org/spreadsheetml/2006/main" count="111" uniqueCount="51">
  <si>
    <t>Datos de mercado</t>
  </si>
  <si>
    <t>instante j</t>
  </si>
  <si>
    <t>tiempo (años)</t>
  </si>
  <si>
    <t>tipos spot R(0,j)</t>
  </si>
  <si>
    <t>Deltat</t>
  </si>
  <si>
    <r>
      <t xml:space="preserve">volatilidades spot </t>
    </r>
    <r>
      <rPr>
        <b/>
        <sz val="12"/>
        <color theme="1"/>
        <rFont val="Symbol"/>
        <family val="1"/>
        <charset val="2"/>
      </rPr>
      <t>s</t>
    </r>
    <r>
      <rPr>
        <b/>
        <vertAlign val="subscript"/>
        <sz val="12"/>
        <color theme="1"/>
        <rFont val="Calibri"/>
        <family val="2"/>
        <scheme val="minor"/>
      </rPr>
      <t>j</t>
    </r>
  </si>
  <si>
    <t>Varianza acumulada</t>
  </si>
  <si>
    <t>Número de pasos</t>
  </si>
  <si>
    <t>T</t>
  </si>
  <si>
    <t>paso de varianza A^2</t>
  </si>
  <si>
    <t>paso de vola A</t>
  </si>
  <si>
    <t>paso</t>
  </si>
  <si>
    <t>varianzas acumuladas</t>
  </si>
  <si>
    <t>vars acums</t>
  </si>
  <si>
    <t>plazos</t>
  </si>
  <si>
    <t>nuevas vars</t>
  </si>
  <si>
    <t>nuevos plazos</t>
  </si>
  <si>
    <r>
      <t>cotización hoy S</t>
    </r>
    <r>
      <rPr>
        <b/>
        <i/>
        <vertAlign val="subscript"/>
        <sz val="10"/>
        <rFont val="Arial"/>
        <family val="2"/>
      </rPr>
      <t>0</t>
    </r>
  </si>
  <si>
    <t>Interpolación de tiempos</t>
  </si>
  <si>
    <t>Interpolación de tipos spot</t>
  </si>
  <si>
    <t>tipos spot</t>
  </si>
  <si>
    <t>nuevos tipos</t>
  </si>
  <si>
    <t>descuentos forward</t>
  </si>
  <si>
    <t>descuentos</t>
  </si>
  <si>
    <t>Árbol de ruidos</t>
  </si>
  <si>
    <t>deriva por tipos</t>
  </si>
  <si>
    <t>factor(vola)</t>
  </si>
  <si>
    <t>Árbol de valores del subyacente</t>
  </si>
  <si>
    <t>varianza</t>
  </si>
  <si>
    <t>media</t>
  </si>
  <si>
    <t>media cudrados</t>
  </si>
  <si>
    <t>desv típica</t>
  </si>
  <si>
    <t>debería salir</t>
  </si>
  <si>
    <t>comprobación de volatilidad</t>
  </si>
  <si>
    <t>comprobación de martingala</t>
  </si>
  <si>
    <t>strike</t>
  </si>
  <si>
    <t>vencimiento</t>
  </si>
  <si>
    <t>Árbol de valoración de la opción</t>
  </si>
  <si>
    <t>Árbol de deltas</t>
  </si>
  <si>
    <t>Simulación en el árbol</t>
  </si>
  <si>
    <t>senda valores subyacente</t>
  </si>
  <si>
    <t>senda deltas</t>
  </si>
  <si>
    <t>Cartera de réplica</t>
  </si>
  <si>
    <t>subyacente (unidades)</t>
  </si>
  <si>
    <t>cash</t>
  </si>
  <si>
    <t>valor liquidativo cartera</t>
  </si>
  <si>
    <t>ajustes de convexidad</t>
  </si>
  <si>
    <t>call=+1 put=-1</t>
  </si>
  <si>
    <t>Valoración de call/put europea</t>
  </si>
  <si>
    <t>flujo opción</t>
  </si>
  <si>
    <t>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</si>
</sst>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* #,##0.00\ &quot;€&quot;_-;\-* #,##0.00\ &quot;€&quot;_-;_-* &quot;-&quot;??\ &quot;€&quot;_-;_-@_-"/>
    <numFmt numFmtId="164" formatCode="0.00000"/>
    <numFmt numFmtId="165" formatCode="0.000%"/>
    <numFmt numFmtId="166" formatCode="0.0000%"/>
    <numFmt numFmtId="167" formatCode="0.0000"/>
    <numFmt numFmtId="168" formatCode="_-* #,##0.000\ &quot;€&quot;_-;\-* #,##0.000\ &quot;€&quot;_-;_-* &quot;-&quot;??\ &quot;€&quot;_-;_-@_-"/>
    <numFmt numFmtId="169" formatCode="0.000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0"/>
      <name val="Arial"/>
      <family val="2"/>
    </font>
    <font>
      <b/>
      <i/>
      <vertAlign val="subscript"/>
      <sz val="10"/>
      <name val="Arial"/>
      <family val="2"/>
    </font>
    <font>
      <sz val="12"/>
      <color theme="1"/>
      <name val="Calibri"/>
      <family val="2"/>
      <scheme val="minor"/>
    </font>
    <font>
      <b/>
      <i/>
      <sz val="12"/>
      <name val="Calibri"/>
      <family val="2"/>
      <scheme val="minor"/>
    </font>
    <font>
      <b/>
      <sz val="12"/>
      <color indexed="9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Symbol"/>
      <family val="1"/>
      <charset val="2"/>
    </font>
    <font>
      <b/>
      <vertAlign val="subscript"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18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E5ECE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76">
    <xf numFmtId="0" fontId="0" fillId="0" borderId="0" xfId="0"/>
    <xf numFmtId="0" fontId="2" fillId="0" borderId="0" xfId="0" applyFont="1" applyAlignment="1">
      <alignment horizontal="right"/>
    </xf>
    <xf numFmtId="165" fontId="0" fillId="0" borderId="0" xfId="1" applyNumberFormat="1" applyFont="1"/>
    <xf numFmtId="0" fontId="4" fillId="0" borderId="0" xfId="0" applyFont="1"/>
    <xf numFmtId="0" fontId="5" fillId="0" borderId="0" xfId="0" applyFont="1" applyAlignment="1">
      <alignment horizontal="right"/>
    </xf>
    <xf numFmtId="0" fontId="6" fillId="2" borderId="2" xfId="0" applyFont="1" applyFill="1" applyBorder="1" applyAlignment="1">
      <alignment horizontal="center"/>
    </xf>
    <xf numFmtId="165" fontId="4" fillId="0" borderId="0" xfId="1" applyNumberFormat="1" applyFont="1"/>
    <xf numFmtId="0" fontId="5" fillId="3" borderId="1" xfId="0" applyFont="1" applyFill="1" applyBorder="1" applyAlignment="1">
      <alignment horizontal="right"/>
    </xf>
    <xf numFmtId="0" fontId="4" fillId="3" borderId="3" xfId="0" applyFont="1" applyFill="1" applyBorder="1"/>
    <xf numFmtId="0" fontId="10" fillId="0" borderId="0" xfId="0" applyFont="1" applyAlignment="1">
      <alignment horizontal="right"/>
    </xf>
    <xf numFmtId="0" fontId="4" fillId="0" borderId="0" xfId="0" applyFont="1" applyAlignment="1">
      <alignment horizontal="right"/>
    </xf>
    <xf numFmtId="0" fontId="6" fillId="2" borderId="3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166" fontId="4" fillId="0" borderId="0" xfId="1" applyNumberFormat="1" applyFont="1"/>
    <xf numFmtId="9" fontId="4" fillId="0" borderId="0" xfId="0" applyNumberFormat="1" applyFont="1"/>
    <xf numFmtId="1" fontId="7" fillId="0" borderId="0" xfId="0" applyNumberFormat="1" applyFont="1" applyAlignment="1">
      <alignment horizontal="center"/>
    </xf>
    <xf numFmtId="165" fontId="7" fillId="0" borderId="0" xfId="0" applyNumberFormat="1" applyFont="1" applyAlignment="1">
      <alignment horizontal="center"/>
    </xf>
    <xf numFmtId="165" fontId="4" fillId="0" borderId="0" xfId="1" applyNumberFormat="1" applyFont="1" applyAlignment="1">
      <alignment horizontal="center"/>
    </xf>
    <xf numFmtId="0" fontId="4" fillId="0" borderId="0" xfId="0" applyFont="1" applyAlignment="1">
      <alignment horizontal="center"/>
    </xf>
    <xf numFmtId="10" fontId="4" fillId="0" borderId="0" xfId="1" applyNumberFormat="1" applyFont="1" applyAlignment="1">
      <alignment horizontal="center"/>
    </xf>
    <xf numFmtId="165" fontId="4" fillId="0" borderId="5" xfId="1" applyNumberFormat="1" applyFont="1" applyBorder="1"/>
    <xf numFmtId="167" fontId="4" fillId="0" borderId="6" xfId="0" applyNumberFormat="1" applyFont="1" applyBorder="1"/>
    <xf numFmtId="165" fontId="4" fillId="0" borderId="7" xfId="1" applyNumberFormat="1" applyFont="1" applyBorder="1"/>
    <xf numFmtId="167" fontId="4" fillId="0" borderId="8" xfId="0" applyNumberFormat="1" applyFont="1" applyBorder="1"/>
    <xf numFmtId="165" fontId="4" fillId="0" borderId="9" xfId="1" applyNumberFormat="1" applyFont="1" applyBorder="1"/>
    <xf numFmtId="167" fontId="4" fillId="0" borderId="10" xfId="0" applyNumberFormat="1" applyFont="1" applyBorder="1"/>
    <xf numFmtId="167" fontId="4" fillId="0" borderId="0" xfId="0" applyNumberFormat="1" applyFont="1" applyAlignment="1">
      <alignment horizontal="center"/>
    </xf>
    <xf numFmtId="165" fontId="4" fillId="0" borderId="6" xfId="1" applyNumberFormat="1" applyFont="1" applyBorder="1"/>
    <xf numFmtId="165" fontId="4" fillId="0" borderId="8" xfId="1" applyNumberFormat="1" applyFont="1" applyBorder="1"/>
    <xf numFmtId="165" fontId="4" fillId="0" borderId="10" xfId="1" applyNumberFormat="1" applyFont="1" applyBorder="1"/>
    <xf numFmtId="167" fontId="4" fillId="0" borderId="5" xfId="0" applyNumberFormat="1" applyFont="1" applyBorder="1"/>
    <xf numFmtId="167" fontId="4" fillId="0" borderId="7" xfId="0" applyNumberFormat="1" applyFont="1" applyBorder="1"/>
    <xf numFmtId="167" fontId="4" fillId="0" borderId="9" xfId="0" applyNumberFormat="1" applyFont="1" applyBorder="1"/>
    <xf numFmtId="0" fontId="11" fillId="0" borderId="0" xfId="0" applyFont="1" applyAlignment="1">
      <alignment horizontal="right"/>
    </xf>
    <xf numFmtId="167" fontId="6" fillId="2" borderId="3" xfId="0" applyNumberFormat="1" applyFont="1" applyFill="1" applyBorder="1" applyAlignment="1">
      <alignment horizontal="center"/>
    </xf>
    <xf numFmtId="0" fontId="12" fillId="0" borderId="0" xfId="0" applyFont="1" applyAlignment="1">
      <alignment horizontal="right"/>
    </xf>
    <xf numFmtId="10" fontId="4" fillId="0" borderId="0" xfId="0" applyNumberFormat="1" applyFont="1" applyAlignment="1">
      <alignment horizontal="center"/>
    </xf>
    <xf numFmtId="165" fontId="4" fillId="0" borderId="0" xfId="0" applyNumberFormat="1" applyFont="1"/>
    <xf numFmtId="0" fontId="4" fillId="5" borderId="0" xfId="0" applyFont="1" applyFill="1"/>
    <xf numFmtId="167" fontId="4" fillId="6" borderId="6" xfId="0" applyNumberFormat="1" applyFont="1" applyFill="1" applyBorder="1"/>
    <xf numFmtId="167" fontId="4" fillId="6" borderId="8" xfId="0" applyNumberFormat="1" applyFont="1" applyFill="1" applyBorder="1"/>
    <xf numFmtId="167" fontId="4" fillId="6" borderId="10" xfId="0" applyNumberFormat="1" applyFont="1" applyFill="1" applyBorder="1"/>
    <xf numFmtId="165" fontId="4" fillId="6" borderId="6" xfId="1" applyNumberFormat="1" applyFont="1" applyFill="1" applyBorder="1"/>
    <xf numFmtId="165" fontId="4" fillId="6" borderId="8" xfId="1" applyNumberFormat="1" applyFont="1" applyFill="1" applyBorder="1"/>
    <xf numFmtId="165" fontId="4" fillId="6" borderId="10" xfId="1" applyNumberFormat="1" applyFont="1" applyFill="1" applyBorder="1"/>
    <xf numFmtId="0" fontId="6" fillId="7" borderId="3" xfId="0" applyFont="1" applyFill="1" applyBorder="1" applyAlignment="1">
      <alignment horizontal="center"/>
    </xf>
    <xf numFmtId="0" fontId="6" fillId="7" borderId="2" xfId="0" applyFont="1" applyFill="1" applyBorder="1" applyAlignment="1">
      <alignment horizontal="center"/>
    </xf>
    <xf numFmtId="0" fontId="6" fillId="7" borderId="4" xfId="0" applyFont="1" applyFill="1" applyBorder="1" applyAlignment="1">
      <alignment horizontal="center"/>
    </xf>
    <xf numFmtId="165" fontId="4" fillId="3" borderId="0" xfId="1" applyNumberFormat="1" applyFont="1" applyFill="1"/>
    <xf numFmtId="0" fontId="4" fillId="3" borderId="0" xfId="0" applyFont="1" applyFill="1"/>
    <xf numFmtId="168" fontId="13" fillId="4" borderId="0" xfId="2" applyNumberFormat="1" applyFont="1" applyFill="1" applyAlignment="1">
      <alignment horizontal="center"/>
    </xf>
    <xf numFmtId="165" fontId="4" fillId="0" borderId="3" xfId="0" applyNumberFormat="1" applyFont="1" applyBorder="1"/>
    <xf numFmtId="165" fontId="4" fillId="0" borderId="2" xfId="0" applyNumberFormat="1" applyFont="1" applyBorder="1"/>
    <xf numFmtId="165" fontId="4" fillId="0" borderId="4" xfId="0" applyNumberFormat="1" applyFont="1" applyBorder="1"/>
    <xf numFmtId="9" fontId="4" fillId="0" borderId="3" xfId="0" applyNumberFormat="1" applyFont="1" applyBorder="1"/>
    <xf numFmtId="165" fontId="4" fillId="0" borderId="2" xfId="1" applyNumberFormat="1" applyFont="1" applyBorder="1"/>
    <xf numFmtId="165" fontId="4" fillId="0" borderId="4" xfId="1" applyNumberFormat="1" applyFont="1" applyBorder="1"/>
    <xf numFmtId="167" fontId="4" fillId="6" borderId="0" xfId="0" applyNumberFormat="1" applyFont="1" applyFill="1" applyAlignment="1">
      <alignment horizontal="center"/>
    </xf>
    <xf numFmtId="169" fontId="13" fillId="4" borderId="0" xfId="0" applyNumberFormat="1" applyFont="1" applyFill="1" applyAlignment="1">
      <alignment horizontal="center"/>
    </xf>
    <xf numFmtId="167" fontId="13" fillId="9" borderId="0" xfId="0" applyNumberFormat="1" applyFont="1" applyFill="1" applyAlignment="1">
      <alignment horizontal="center"/>
    </xf>
    <xf numFmtId="168" fontId="13" fillId="5" borderId="0" xfId="2" applyNumberFormat="1" applyFont="1" applyFill="1" applyAlignment="1">
      <alignment horizontal="center"/>
    </xf>
    <xf numFmtId="0" fontId="16" fillId="0" borderId="0" xfId="0" applyFont="1"/>
    <xf numFmtId="0" fontId="4" fillId="0" borderId="3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10" borderId="9" xfId="0" applyFont="1" applyFill="1" applyBorder="1" applyAlignment="1">
      <alignment horizontal="center"/>
    </xf>
    <xf numFmtId="0" fontId="4" fillId="10" borderId="11" xfId="0" applyFont="1" applyFill="1" applyBorder="1" applyAlignment="1">
      <alignment horizontal="center"/>
    </xf>
    <xf numFmtId="0" fontId="4" fillId="10" borderId="10" xfId="0" applyFont="1" applyFill="1" applyBorder="1" applyAlignment="1">
      <alignment horizontal="center"/>
    </xf>
    <xf numFmtId="169" fontId="4" fillId="8" borderId="0" xfId="0" applyNumberFormat="1" applyFont="1" applyFill="1" applyAlignment="1">
      <alignment horizontal="center"/>
    </xf>
    <xf numFmtId="164" fontId="7" fillId="11" borderId="3" xfId="0" applyNumberFormat="1" applyFont="1" applyFill="1" applyBorder="1" applyAlignment="1">
      <alignment horizontal="center"/>
    </xf>
    <xf numFmtId="164" fontId="7" fillId="11" borderId="2" xfId="0" applyNumberFormat="1" applyFont="1" applyFill="1" applyBorder="1" applyAlignment="1">
      <alignment horizontal="center"/>
    </xf>
    <xf numFmtId="164" fontId="7" fillId="11" borderId="4" xfId="0" applyNumberFormat="1" applyFont="1" applyFill="1" applyBorder="1" applyAlignment="1">
      <alignment horizontal="center"/>
    </xf>
    <xf numFmtId="0" fontId="4" fillId="11" borderId="1" xfId="0" applyFont="1" applyFill="1" applyBorder="1"/>
    <xf numFmtId="165" fontId="4" fillId="11" borderId="1" xfId="1" applyNumberFormat="1" applyFont="1" applyFill="1" applyBorder="1"/>
    <xf numFmtId="164" fontId="4" fillId="0" borderId="0" xfId="0" applyNumberFormat="1" applyFont="1" applyAlignment="1">
      <alignment horizontal="center"/>
    </xf>
    <xf numFmtId="0" fontId="13" fillId="12" borderId="1" xfId="0" applyFont="1" applyFill="1" applyBorder="1" applyAlignment="1">
      <alignment horizontal="center"/>
    </xf>
  </cellXfs>
  <cellStyles count="3">
    <cellStyle name="Currency" xfId="2" builtinId="4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9E5E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158320</xdr:colOff>
      <xdr:row>28</xdr:row>
      <xdr:rowOff>38099</xdr:rowOff>
    </xdr:from>
    <xdr:to>
      <xdr:col>15</xdr:col>
      <xdr:colOff>180975</xdr:colOff>
      <xdr:row>37</xdr:row>
      <xdr:rowOff>162407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45195" y="5781674"/>
          <a:ext cx="2013380" cy="1943583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542926</xdr:colOff>
      <xdr:row>42</xdr:row>
      <xdr:rowOff>5785</xdr:rowOff>
    </xdr:from>
    <xdr:to>
      <xdr:col>2</xdr:col>
      <xdr:colOff>4713</xdr:colOff>
      <xdr:row>44</xdr:row>
      <xdr:rowOff>66675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6" y="8597335"/>
          <a:ext cx="985787" cy="47999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704850</xdr:colOff>
      <xdr:row>39</xdr:row>
      <xdr:rowOff>0</xdr:rowOff>
    </xdr:from>
    <xdr:to>
      <xdr:col>1</xdr:col>
      <xdr:colOff>695325</xdr:colOff>
      <xdr:row>41</xdr:row>
      <xdr:rowOff>25842</xdr:rowOff>
    </xdr:to>
    <xdr:pic>
      <xdr:nvPicPr>
        <xdr:cNvPr id="4" name="3 Image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850" y="8067675"/>
          <a:ext cx="752475" cy="444942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628651</xdr:colOff>
      <xdr:row>51</xdr:row>
      <xdr:rowOff>114300</xdr:rowOff>
    </xdr:from>
    <xdr:to>
      <xdr:col>4</xdr:col>
      <xdr:colOff>628650</xdr:colOff>
      <xdr:row>54</xdr:row>
      <xdr:rowOff>182466</xdr:rowOff>
    </xdr:to>
    <xdr:pic>
      <xdr:nvPicPr>
        <xdr:cNvPr id="5" name="4 Imagen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1" y="10648950"/>
          <a:ext cx="3047999" cy="668241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158320</xdr:colOff>
      <xdr:row>28</xdr:row>
      <xdr:rowOff>38099</xdr:rowOff>
    </xdr:from>
    <xdr:to>
      <xdr:col>15</xdr:col>
      <xdr:colOff>180975</xdr:colOff>
      <xdr:row>37</xdr:row>
      <xdr:rowOff>162407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FA7CB2B4-6EFD-4EF6-A4DD-A28301708D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5445" y="5867399"/>
          <a:ext cx="2013380" cy="1943583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542926</xdr:colOff>
      <xdr:row>42</xdr:row>
      <xdr:rowOff>5785</xdr:rowOff>
    </xdr:from>
    <xdr:to>
      <xdr:col>2</xdr:col>
      <xdr:colOff>4713</xdr:colOff>
      <xdr:row>44</xdr:row>
      <xdr:rowOff>66675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D5BF53FD-FC39-4353-A017-84BEFCB5F6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6" y="8692585"/>
          <a:ext cx="985787" cy="47999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704850</xdr:colOff>
      <xdr:row>39</xdr:row>
      <xdr:rowOff>0</xdr:rowOff>
    </xdr:from>
    <xdr:to>
      <xdr:col>1</xdr:col>
      <xdr:colOff>695325</xdr:colOff>
      <xdr:row>41</xdr:row>
      <xdr:rowOff>25842</xdr:rowOff>
    </xdr:to>
    <xdr:pic>
      <xdr:nvPicPr>
        <xdr:cNvPr id="4" name="3 Imagen">
          <a:extLst>
            <a:ext uri="{FF2B5EF4-FFF2-40B4-BE49-F238E27FC236}">
              <a16:creationId xmlns:a16="http://schemas.microsoft.com/office/drawing/2014/main" id="{F58118F3-5E76-4B40-B5DF-EC6AEC49FB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850" y="8067675"/>
          <a:ext cx="752475" cy="444942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628651</xdr:colOff>
      <xdr:row>51</xdr:row>
      <xdr:rowOff>114300</xdr:rowOff>
    </xdr:from>
    <xdr:to>
      <xdr:col>4</xdr:col>
      <xdr:colOff>628650</xdr:colOff>
      <xdr:row>54</xdr:row>
      <xdr:rowOff>182466</xdr:rowOff>
    </xdr:to>
    <xdr:pic>
      <xdr:nvPicPr>
        <xdr:cNvPr id="5" name="4 Imagen">
          <a:extLst>
            <a:ext uri="{FF2B5EF4-FFF2-40B4-BE49-F238E27FC236}">
              <a16:creationId xmlns:a16="http://schemas.microsoft.com/office/drawing/2014/main" id="{3CE25DDB-1F9E-4368-9B6D-D60C1E0D21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1" y="10648950"/>
          <a:ext cx="3047999" cy="668241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XFD99"/>
  <sheetViews>
    <sheetView showGridLines="0" tabSelected="1" workbookViewId="0"/>
  </sheetViews>
  <sheetFormatPr defaultColWidth="11.42578125" defaultRowHeight="15.75" x14ac:dyDescent="0.25"/>
  <cols>
    <col min="1" max="4" width="11.42578125" style="3"/>
    <col min="5" max="7" width="15.28515625" style="3" bestFit="1" customWidth="1"/>
    <col min="8" max="11" width="16.5703125" style="3" bestFit="1" customWidth="1"/>
    <col min="12" max="13" width="11.42578125" style="3"/>
    <col min="14" max="14" width="7" style="3" customWidth="1"/>
    <col min="15" max="17" width="11.42578125" style="3"/>
    <col min="18" max="18" width="14" style="3" bestFit="1" customWidth="1"/>
    <col min="19" max="16384" width="11.42578125" style="3"/>
  </cols>
  <sheetData>
    <row r="1" spans="3:19 16384:16384" ht="16.5" thickBot="1" x14ac:dyDescent="0.3">
      <c r="XFD1" s="3" t="s">
        <v>50</v>
      </c>
    </row>
    <row r="2" spans="3:19 16384:16384" ht="16.5" thickBot="1" x14ac:dyDescent="0.3">
      <c r="D2" s="10" t="s">
        <v>7</v>
      </c>
      <c r="E2" s="75">
        <v>6</v>
      </c>
    </row>
    <row r="3" spans="3:19 16384:16384" ht="16.5" thickBot="1" x14ac:dyDescent="0.3">
      <c r="D3" s="10" t="s">
        <v>8</v>
      </c>
      <c r="E3" s="75">
        <v>0.5</v>
      </c>
    </row>
    <row r="4" spans="3:19 16384:16384" x14ac:dyDescent="0.25">
      <c r="D4" s="10" t="s">
        <v>4</v>
      </c>
      <c r="E4" s="3">
        <f>1/12</f>
        <v>8.3333333333333329E-2</v>
      </c>
    </row>
    <row r="5" spans="3:19 16384:16384" ht="16.5" thickBot="1" x14ac:dyDescent="0.3">
      <c r="O5" s="3" t="s">
        <v>18</v>
      </c>
    </row>
    <row r="6" spans="3:19 16384:16384" ht="16.5" thickBot="1" x14ac:dyDescent="0.3">
      <c r="C6" s="8"/>
      <c r="D6" s="7" t="s">
        <v>0</v>
      </c>
    </row>
    <row r="7" spans="3:19 16384:16384" ht="16.5" thickBot="1" x14ac:dyDescent="0.3">
      <c r="O7" s="3" t="s">
        <v>11</v>
      </c>
      <c r="P7" s="3" t="s">
        <v>13</v>
      </c>
      <c r="Q7" s="3" t="s">
        <v>14</v>
      </c>
      <c r="R7" s="3" t="s">
        <v>15</v>
      </c>
      <c r="S7" s="3" t="s">
        <v>16</v>
      </c>
    </row>
    <row r="8" spans="3:19 16384:16384" ht="16.5" thickBot="1" x14ac:dyDescent="0.3">
      <c r="O8" s="3">
        <v>0</v>
      </c>
      <c r="P8" s="20"/>
      <c r="Q8" s="21"/>
      <c r="R8" s="20"/>
      <c r="S8" s="39"/>
    </row>
    <row r="9" spans="3:19 16384:16384" ht="16.5" thickBot="1" x14ac:dyDescent="0.3">
      <c r="D9" s="4" t="s">
        <v>1</v>
      </c>
      <c r="E9" s="11">
        <v>0</v>
      </c>
      <c r="F9" s="5">
        <v>1</v>
      </c>
      <c r="G9" s="5">
        <v>2</v>
      </c>
      <c r="H9" s="5">
        <v>3</v>
      </c>
      <c r="I9" s="5">
        <v>4</v>
      </c>
      <c r="J9" s="5">
        <v>5</v>
      </c>
      <c r="K9" s="12">
        <v>6</v>
      </c>
      <c r="O9" s="3">
        <v>1</v>
      </c>
      <c r="P9" s="22"/>
      <c r="Q9" s="23"/>
      <c r="R9" s="22"/>
      <c r="S9" s="40"/>
    </row>
    <row r="10" spans="3:19 16384:16384" ht="16.5" thickBot="1" x14ac:dyDescent="0.3">
      <c r="D10" s="4" t="s">
        <v>2</v>
      </c>
      <c r="E10" s="69">
        <f t="shared" ref="E10:K10" si="0">E9*deltat</f>
        <v>0</v>
      </c>
      <c r="F10" s="70">
        <f t="shared" si="0"/>
        <v>8.3333333333333329E-2</v>
      </c>
      <c r="G10" s="70">
        <f t="shared" si="0"/>
        <v>0.16666666666666666</v>
      </c>
      <c r="H10" s="70">
        <f t="shared" si="0"/>
        <v>0.25</v>
      </c>
      <c r="I10" s="70">
        <f t="shared" si="0"/>
        <v>0.33333333333333331</v>
      </c>
      <c r="J10" s="70">
        <f t="shared" si="0"/>
        <v>0.41666666666666663</v>
      </c>
      <c r="K10" s="71">
        <f t="shared" si="0"/>
        <v>0.5</v>
      </c>
      <c r="O10" s="3">
        <v>2</v>
      </c>
      <c r="P10" s="22"/>
      <c r="Q10" s="23"/>
      <c r="R10" s="22"/>
      <c r="S10" s="40"/>
    </row>
    <row r="11" spans="3:19 16384:16384" x14ac:dyDescent="0.25">
      <c r="D11" s="4" t="s">
        <v>3</v>
      </c>
      <c r="E11" s="16"/>
      <c r="F11" s="17">
        <v>6.4000000000000003E-3</v>
      </c>
      <c r="G11" s="17">
        <v>9.1999999999999998E-3</v>
      </c>
      <c r="H11" s="17">
        <v>1.21E-2</v>
      </c>
      <c r="I11" s="17">
        <v>1.24E-2</v>
      </c>
      <c r="J11" s="17">
        <v>1.29E-2</v>
      </c>
      <c r="K11" s="17">
        <v>1.78E-2</v>
      </c>
      <c r="O11" s="3">
        <v>3</v>
      </c>
      <c r="P11" s="22"/>
      <c r="Q11" s="23"/>
      <c r="R11" s="22"/>
      <c r="S11" s="40"/>
    </row>
    <row r="12" spans="3:19 16384:16384" ht="18.75" x14ac:dyDescent="0.35">
      <c r="D12" s="4" t="s">
        <v>5</v>
      </c>
      <c r="E12" s="18"/>
      <c r="F12" s="19">
        <v>0.27</v>
      </c>
      <c r="G12" s="19">
        <v>0.28999999999999998</v>
      </c>
      <c r="H12" s="19">
        <v>0.34</v>
      </c>
      <c r="I12" s="19">
        <v>0.35</v>
      </c>
      <c r="J12" s="19">
        <v>0.36</v>
      </c>
      <c r="K12" s="19">
        <v>0.36499999999999999</v>
      </c>
      <c r="O12" s="3">
        <v>4</v>
      </c>
      <c r="P12" s="22"/>
      <c r="Q12" s="23"/>
      <c r="R12" s="22"/>
      <c r="S12" s="40"/>
    </row>
    <row r="13" spans="3:19 16384:16384" x14ac:dyDescent="0.25">
      <c r="D13" s="1" t="s">
        <v>17</v>
      </c>
      <c r="E13" s="15">
        <v>80</v>
      </c>
      <c r="F13" s="18"/>
      <c r="G13" s="18"/>
      <c r="H13" s="18"/>
      <c r="I13" s="18"/>
      <c r="J13" s="18"/>
      <c r="K13" s="18"/>
      <c r="O13" s="3">
        <v>5</v>
      </c>
      <c r="P13" s="22"/>
      <c r="Q13" s="23"/>
      <c r="R13" s="22"/>
      <c r="S13" s="40"/>
    </row>
    <row r="14" spans="3:19 16384:16384" ht="16.5" thickBot="1" x14ac:dyDescent="0.3">
      <c r="E14" s="18"/>
      <c r="F14" s="18"/>
      <c r="G14" s="18"/>
      <c r="H14" s="18"/>
      <c r="I14" s="18"/>
      <c r="J14" s="18"/>
      <c r="K14" s="18"/>
      <c r="O14" s="3">
        <v>6</v>
      </c>
      <c r="P14" s="24"/>
      <c r="Q14" s="25"/>
      <c r="R14" s="24"/>
      <c r="S14" s="41"/>
    </row>
    <row r="15" spans="3:19 16384:16384" ht="16.5" thickBot="1" x14ac:dyDescent="0.3"/>
    <row r="16" spans="3:19 16384:16384" ht="16.5" thickBot="1" x14ac:dyDescent="0.3">
      <c r="D16" s="9" t="s">
        <v>12</v>
      </c>
      <c r="E16" s="54"/>
      <c r="F16" s="55"/>
      <c r="G16" s="55"/>
      <c r="H16" s="55"/>
      <c r="I16" s="55"/>
      <c r="J16" s="55"/>
      <c r="K16" s="56"/>
      <c r="O16" s="3" t="s">
        <v>19</v>
      </c>
    </row>
    <row r="17" spans="4:19" ht="16.5" thickBot="1" x14ac:dyDescent="0.3">
      <c r="D17" s="9" t="s">
        <v>6</v>
      </c>
      <c r="E17" s="6"/>
      <c r="O17" s="3" t="s">
        <v>11</v>
      </c>
      <c r="P17" s="3" t="s">
        <v>14</v>
      </c>
      <c r="Q17" s="3" t="s">
        <v>20</v>
      </c>
      <c r="R17" s="3" t="s">
        <v>16</v>
      </c>
      <c r="S17" s="3" t="s">
        <v>21</v>
      </c>
    </row>
    <row r="18" spans="4:19" ht="16.5" thickBot="1" x14ac:dyDescent="0.3">
      <c r="D18" s="9" t="s">
        <v>9</v>
      </c>
      <c r="E18" s="13"/>
      <c r="O18" s="3">
        <v>0</v>
      </c>
      <c r="P18" s="30"/>
      <c r="Q18" s="27"/>
      <c r="R18" s="30"/>
      <c r="S18" s="42"/>
    </row>
    <row r="19" spans="4:19" ht="16.5" thickBot="1" x14ac:dyDescent="0.3">
      <c r="D19" s="9" t="s">
        <v>10</v>
      </c>
      <c r="E19" s="72"/>
      <c r="G19" s="3" t="s">
        <v>26</v>
      </c>
      <c r="H19" s="73"/>
      <c r="I19" s="6"/>
      <c r="O19" s="3">
        <v>1</v>
      </c>
      <c r="P19" s="31"/>
      <c r="Q19" s="28"/>
      <c r="R19" s="31"/>
      <c r="S19" s="43"/>
    </row>
    <row r="20" spans="4:19" ht="16.5" thickBot="1" x14ac:dyDescent="0.3">
      <c r="O20" s="3">
        <v>2</v>
      </c>
      <c r="P20" s="31"/>
      <c r="Q20" s="28"/>
      <c r="R20" s="31"/>
      <c r="S20" s="43"/>
    </row>
    <row r="21" spans="4:19" ht="16.5" thickBot="1" x14ac:dyDescent="0.3">
      <c r="E21" s="11">
        <v>0</v>
      </c>
      <c r="F21" s="5">
        <v>1</v>
      </c>
      <c r="G21" s="5">
        <v>2</v>
      </c>
      <c r="H21" s="5">
        <v>3</v>
      </c>
      <c r="I21" s="5">
        <v>4</v>
      </c>
      <c r="J21" s="5">
        <v>5</v>
      </c>
      <c r="K21" s="12">
        <v>6</v>
      </c>
      <c r="O21" s="3">
        <v>3</v>
      </c>
      <c r="P21" s="31"/>
      <c r="Q21" s="28"/>
      <c r="R21" s="31"/>
      <c r="S21" s="43"/>
    </row>
    <row r="22" spans="4:19" ht="16.5" thickBot="1" x14ac:dyDescent="0.3">
      <c r="D22" s="4" t="s">
        <v>2</v>
      </c>
      <c r="E22" s="69"/>
      <c r="F22" s="70"/>
      <c r="G22" s="70"/>
      <c r="H22" s="70"/>
      <c r="I22" s="70"/>
      <c r="J22" s="70"/>
      <c r="K22" s="71"/>
      <c r="O22" s="3">
        <v>4</v>
      </c>
      <c r="P22" s="31"/>
      <c r="Q22" s="28"/>
      <c r="R22" s="31"/>
      <c r="S22" s="43"/>
    </row>
    <row r="23" spans="4:19" x14ac:dyDescent="0.25">
      <c r="D23" s="4" t="s">
        <v>3</v>
      </c>
      <c r="E23" s="17"/>
      <c r="F23" s="17"/>
      <c r="G23" s="17"/>
      <c r="H23" s="17"/>
      <c r="I23" s="17"/>
      <c r="J23" s="17"/>
      <c r="K23" s="17"/>
      <c r="O23" s="3">
        <v>5</v>
      </c>
      <c r="P23" s="31"/>
      <c r="Q23" s="28"/>
      <c r="R23" s="31"/>
      <c r="S23" s="43"/>
    </row>
    <row r="24" spans="4:19" ht="16.5" thickBot="1" x14ac:dyDescent="0.3">
      <c r="D24" s="33" t="s">
        <v>23</v>
      </c>
      <c r="E24" s="19"/>
      <c r="F24" s="19"/>
      <c r="G24" s="19"/>
      <c r="H24" s="19"/>
      <c r="I24" s="19"/>
      <c r="J24" s="19"/>
      <c r="K24" s="19"/>
      <c r="O24" s="3">
        <v>6</v>
      </c>
      <c r="P24" s="32"/>
      <c r="Q24" s="29"/>
      <c r="R24" s="32"/>
      <c r="S24" s="44"/>
    </row>
    <row r="25" spans="4:19" x14ac:dyDescent="0.25">
      <c r="D25" s="4" t="s">
        <v>22</v>
      </c>
      <c r="E25" s="36"/>
      <c r="F25" s="36"/>
      <c r="G25" s="36"/>
      <c r="H25" s="36"/>
      <c r="I25" s="36"/>
      <c r="J25" s="36"/>
      <c r="K25" s="18"/>
    </row>
    <row r="28" spans="4:19" ht="16.5" thickBot="1" x14ac:dyDescent="0.3">
      <c r="D28" s="35" t="s">
        <v>24</v>
      </c>
    </row>
    <row r="29" spans="4:19" ht="16.5" thickBot="1" x14ac:dyDescent="0.3">
      <c r="E29" s="45">
        <v>0</v>
      </c>
      <c r="F29" s="46">
        <v>1</v>
      </c>
      <c r="G29" s="46">
        <v>2</v>
      </c>
      <c r="H29" s="46">
        <v>3</v>
      </c>
      <c r="I29" s="46">
        <v>4</v>
      </c>
      <c r="J29" s="46">
        <v>5</v>
      </c>
      <c r="K29" s="47">
        <v>6</v>
      </c>
    </row>
    <row r="30" spans="4:19" ht="16.5" thickBot="1" x14ac:dyDescent="0.3">
      <c r="E30" s="34"/>
      <c r="F30" s="5"/>
      <c r="G30" s="5"/>
      <c r="H30" s="5"/>
      <c r="I30" s="5"/>
      <c r="J30" s="5"/>
      <c r="K30" s="12"/>
    </row>
    <row r="38" spans="4:18" ht="16.5" thickBot="1" x14ac:dyDescent="0.3"/>
    <row r="39" spans="4:18" ht="16.5" thickBot="1" x14ac:dyDescent="0.3">
      <c r="E39" s="45">
        <v>0</v>
      </c>
      <c r="F39" s="46">
        <v>1</v>
      </c>
      <c r="G39" s="46">
        <v>2</v>
      </c>
      <c r="H39" s="46">
        <v>3</v>
      </c>
      <c r="I39" s="46">
        <v>4</v>
      </c>
      <c r="J39" s="46">
        <v>5</v>
      </c>
      <c r="K39" s="47">
        <v>6</v>
      </c>
    </row>
    <row r="40" spans="4:18" ht="16.5" thickBot="1" x14ac:dyDescent="0.3">
      <c r="E40" s="34"/>
      <c r="F40" s="5"/>
      <c r="G40" s="5"/>
      <c r="H40" s="5"/>
      <c r="I40" s="5"/>
      <c r="J40" s="5"/>
      <c r="K40" s="12"/>
    </row>
    <row r="41" spans="4:18" ht="16.5" thickBot="1" x14ac:dyDescent="0.3">
      <c r="D41" s="35" t="s">
        <v>25</v>
      </c>
      <c r="E41" s="54"/>
      <c r="F41" s="55"/>
      <c r="G41" s="55"/>
      <c r="H41" s="55"/>
      <c r="I41" s="55"/>
      <c r="J41" s="55"/>
      <c r="K41" s="56"/>
    </row>
    <row r="42" spans="4:18" x14ac:dyDescent="0.25">
      <c r="D42" s="35"/>
      <c r="E42" s="14"/>
      <c r="F42" s="6"/>
      <c r="G42" s="6"/>
      <c r="H42" s="6"/>
      <c r="I42" s="6"/>
      <c r="J42" s="6"/>
      <c r="K42" s="6"/>
    </row>
    <row r="43" spans="4:18" ht="16.5" thickBot="1" x14ac:dyDescent="0.3">
      <c r="D43" s="35"/>
      <c r="E43" s="14"/>
      <c r="F43" s="6"/>
      <c r="G43" s="6"/>
      <c r="H43" s="6"/>
      <c r="I43" s="6"/>
      <c r="J43" s="6"/>
      <c r="K43" s="6"/>
    </row>
    <row r="44" spans="4:18" ht="16.5" thickBot="1" x14ac:dyDescent="0.3">
      <c r="D44" s="35" t="s">
        <v>46</v>
      </c>
      <c r="E44" s="51"/>
      <c r="F44" s="52"/>
      <c r="G44" s="52"/>
      <c r="H44" s="52"/>
      <c r="I44" s="52"/>
      <c r="J44" s="52"/>
      <c r="K44" s="53"/>
    </row>
    <row r="45" spans="4:18" x14ac:dyDescent="0.25">
      <c r="E45" s="14"/>
      <c r="F45" s="6"/>
      <c r="G45" s="6"/>
      <c r="H45" s="6"/>
      <c r="I45" s="6"/>
      <c r="J45" s="6"/>
      <c r="K45" s="6"/>
      <c r="P45" s="3" t="s">
        <v>33</v>
      </c>
    </row>
    <row r="46" spans="4:18" x14ac:dyDescent="0.25">
      <c r="R46" s="3" t="s">
        <v>32</v>
      </c>
    </row>
    <row r="47" spans="4:18" ht="16.5" thickBot="1" x14ac:dyDescent="0.3">
      <c r="D47" s="35" t="s">
        <v>27</v>
      </c>
      <c r="N47" s="3" t="s">
        <v>34</v>
      </c>
      <c r="R47" s="48">
        <f>K12*SQRT(T)</f>
        <v>0.25809397513308985</v>
      </c>
    </row>
    <row r="48" spans="4:18" ht="16.5" thickBot="1" x14ac:dyDescent="0.3">
      <c r="E48" s="45">
        <v>0</v>
      </c>
      <c r="F48" s="46">
        <v>1</v>
      </c>
      <c r="G48" s="46">
        <v>2</v>
      </c>
      <c r="H48" s="46">
        <v>3</v>
      </c>
      <c r="I48" s="46">
        <v>4</v>
      </c>
      <c r="J48" s="46">
        <v>5</v>
      </c>
      <c r="K48" s="47">
        <v>6</v>
      </c>
      <c r="N48" s="49">
        <f>SUMPRODUCT(K50:K56,M50:M56)*K24</f>
        <v>0</v>
      </c>
    </row>
    <row r="49" spans="2:18" ht="16.5" thickBot="1" x14ac:dyDescent="0.3">
      <c r="E49" s="34">
        <f t="array" ref="E49:K49">nuevostiempos</f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12">
        <v>0</v>
      </c>
    </row>
    <row r="50" spans="2:18" x14ac:dyDescent="0.25">
      <c r="E50" s="68"/>
      <c r="F50" s="68"/>
      <c r="G50" s="68"/>
      <c r="H50" s="68"/>
      <c r="I50" s="68"/>
      <c r="J50" s="68"/>
      <c r="K50" s="68"/>
      <c r="L50" s="3">
        <v>6</v>
      </c>
      <c r="M50" s="2">
        <f>BINOMDIST(L50,6,50%,FALSE)</f>
        <v>1.5625000000000007E-2</v>
      </c>
      <c r="P50" s="3" t="e">
        <f t="shared" ref="P50:P56" si="1">LN(K50/S0)</f>
        <v>#NUM!</v>
      </c>
      <c r="Q50" s="3" t="s">
        <v>29</v>
      </c>
      <c r="R50" s="37" t="e">
        <f>SUMPRODUCT(P50:P56,M50:M56)</f>
        <v>#NUM!</v>
      </c>
    </row>
    <row r="51" spans="2:18" x14ac:dyDescent="0.25">
      <c r="F51" s="68"/>
      <c r="G51" s="68"/>
      <c r="H51" s="68"/>
      <c r="I51" s="68"/>
      <c r="J51" s="68"/>
      <c r="K51" s="68"/>
      <c r="L51" s="3">
        <v>5</v>
      </c>
      <c r="M51" s="2">
        <f t="shared" ref="M51:M56" si="2">BINOMDIST(L51,6,50%,FALSE)</f>
        <v>9.375E-2</v>
      </c>
      <c r="P51" s="3" t="e">
        <f t="shared" si="1"/>
        <v>#NUM!</v>
      </c>
      <c r="Q51" s="3" t="s">
        <v>30</v>
      </c>
      <c r="R51" s="3" t="e">
        <f>SUMPRODUCT(P50:P56^2,M50:M56)</f>
        <v>#NUM!</v>
      </c>
    </row>
    <row r="52" spans="2:18" x14ac:dyDescent="0.25">
      <c r="G52" s="68"/>
      <c r="H52" s="68"/>
      <c r="I52" s="68"/>
      <c r="J52" s="68"/>
      <c r="K52" s="68"/>
      <c r="L52" s="3">
        <v>4</v>
      </c>
      <c r="M52" s="2">
        <f t="shared" si="2"/>
        <v>0.23437500000000003</v>
      </c>
      <c r="P52" s="3" t="e">
        <f t="shared" si="1"/>
        <v>#NUM!</v>
      </c>
      <c r="Q52" s="3" t="s">
        <v>28</v>
      </c>
      <c r="R52" s="3" t="e">
        <f>R51-R50^2</f>
        <v>#NUM!</v>
      </c>
    </row>
    <row r="53" spans="2:18" x14ac:dyDescent="0.25">
      <c r="H53" s="68"/>
      <c r="I53" s="68"/>
      <c r="J53" s="68"/>
      <c r="K53" s="68"/>
      <c r="L53" s="3">
        <v>3</v>
      </c>
      <c r="M53" s="2">
        <f t="shared" si="2"/>
        <v>0.31249999999999994</v>
      </c>
      <c r="P53" s="3" t="e">
        <f t="shared" si="1"/>
        <v>#NUM!</v>
      </c>
      <c r="Q53" s="3" t="s">
        <v>31</v>
      </c>
      <c r="R53" s="48" t="e">
        <f>SQRT(R52)</f>
        <v>#NUM!</v>
      </c>
    </row>
    <row r="54" spans="2:18" x14ac:dyDescent="0.25">
      <c r="I54" s="68"/>
      <c r="J54" s="68"/>
      <c r="K54" s="68"/>
      <c r="L54" s="3">
        <v>2</v>
      </c>
      <c r="M54" s="2">
        <f t="shared" si="2"/>
        <v>0.23437500000000003</v>
      </c>
      <c r="P54" s="3" t="e">
        <f t="shared" si="1"/>
        <v>#NUM!</v>
      </c>
    </row>
    <row r="55" spans="2:18" x14ac:dyDescent="0.25">
      <c r="J55" s="68"/>
      <c r="K55" s="68"/>
      <c r="L55" s="3">
        <v>1</v>
      </c>
      <c r="M55" s="2">
        <f t="shared" si="2"/>
        <v>9.375E-2</v>
      </c>
      <c r="P55" s="3" t="e">
        <f t="shared" si="1"/>
        <v>#NUM!</v>
      </c>
    </row>
    <row r="56" spans="2:18" x14ac:dyDescent="0.25">
      <c r="K56" s="68"/>
      <c r="L56" s="3">
        <v>0</v>
      </c>
      <c r="M56" s="2">
        <f t="shared" si="2"/>
        <v>1.5625000000000007E-2</v>
      </c>
      <c r="P56" s="3" t="e">
        <f t="shared" si="1"/>
        <v>#NUM!</v>
      </c>
    </row>
    <row r="59" spans="2:18" s="38" customFormat="1" x14ac:dyDescent="0.25"/>
    <row r="61" spans="2:18" ht="16.5" thickBot="1" x14ac:dyDescent="0.3"/>
    <row r="62" spans="2:18" ht="24" thickBot="1" x14ac:dyDescent="0.4">
      <c r="B62" s="61" t="s">
        <v>48</v>
      </c>
      <c r="F62" s="62" t="s">
        <v>35</v>
      </c>
      <c r="G62" s="63" t="s">
        <v>36</v>
      </c>
      <c r="H62" s="64" t="s">
        <v>47</v>
      </c>
    </row>
    <row r="63" spans="2:18" ht="16.5" thickBot="1" x14ac:dyDescent="0.3">
      <c r="F63" s="65">
        <v>84</v>
      </c>
      <c r="G63" s="66">
        <f>T</f>
        <v>0.5</v>
      </c>
      <c r="H63" s="67">
        <v>1</v>
      </c>
    </row>
    <row r="65" spans="4:11" ht="16.5" thickBot="1" x14ac:dyDescent="0.3">
      <c r="D65" s="35" t="s">
        <v>37</v>
      </c>
    </row>
    <row r="66" spans="4:11" ht="16.5" thickBot="1" x14ac:dyDescent="0.3">
      <c r="E66" s="45">
        <v>0</v>
      </c>
      <c r="F66" s="46">
        <v>1</v>
      </c>
      <c r="G66" s="46">
        <v>2</v>
      </c>
      <c r="H66" s="46">
        <v>3</v>
      </c>
      <c r="I66" s="46">
        <v>4</v>
      </c>
      <c r="J66" s="46">
        <v>5</v>
      </c>
      <c r="K66" s="47">
        <v>6</v>
      </c>
    </row>
    <row r="67" spans="4:11" ht="16.5" thickBot="1" x14ac:dyDescent="0.3">
      <c r="E67" s="34">
        <f t="array" ref="E67:K67">nuevostiempos</f>
        <v>0</v>
      </c>
      <c r="F67" s="5">
        <v>0</v>
      </c>
      <c r="G67" s="5">
        <v>0</v>
      </c>
      <c r="H67" s="5">
        <v>0</v>
      </c>
      <c r="I67" s="5">
        <v>0</v>
      </c>
      <c r="J67" s="5">
        <v>0</v>
      </c>
      <c r="K67" s="12">
        <v>0</v>
      </c>
    </row>
    <row r="68" spans="4:11" x14ac:dyDescent="0.25">
      <c r="E68" s="26">
        <f t="shared" ref="E68:I68" si="3">AVERAGE(F68:F69)*E$25</f>
        <v>0</v>
      </c>
      <c r="F68" s="26">
        <f t="shared" si="3"/>
        <v>0</v>
      </c>
      <c r="G68" s="26">
        <f t="shared" si="3"/>
        <v>0</v>
      </c>
      <c r="H68" s="26">
        <f t="shared" si="3"/>
        <v>0</v>
      </c>
      <c r="I68" s="26">
        <f t="shared" si="3"/>
        <v>0</v>
      </c>
      <c r="J68" s="26">
        <f>AVERAGE(K68:K69)*J$25</f>
        <v>0</v>
      </c>
      <c r="K68" s="57">
        <f t="shared" ref="K68:K74" si="4">MAX(callput*(K50-strike),0)</f>
        <v>0</v>
      </c>
    </row>
    <row r="69" spans="4:11" x14ac:dyDescent="0.25">
      <c r="E69" s="26"/>
      <c r="F69" s="26">
        <f t="shared" ref="F69:I69" si="5">AVERAGE(G69:G70)*F$25</f>
        <v>0</v>
      </c>
      <c r="G69" s="26">
        <f t="shared" si="5"/>
        <v>0</v>
      </c>
      <c r="H69" s="26">
        <f t="shared" si="5"/>
        <v>0</v>
      </c>
      <c r="I69" s="26">
        <f t="shared" si="5"/>
        <v>0</v>
      </c>
      <c r="J69" s="26">
        <f t="shared" ref="J69:J72" si="6">AVERAGE(K69:K70)*J$25</f>
        <v>0</v>
      </c>
      <c r="K69" s="57">
        <f t="shared" si="4"/>
        <v>0</v>
      </c>
    </row>
    <row r="70" spans="4:11" x14ac:dyDescent="0.25">
      <c r="E70" s="26"/>
      <c r="F70" s="26"/>
      <c r="G70" s="26">
        <f t="shared" ref="G70:I70" si="7">AVERAGE(H70:H71)*G$25</f>
        <v>0</v>
      </c>
      <c r="H70" s="26">
        <f t="shared" si="7"/>
        <v>0</v>
      </c>
      <c r="I70" s="26">
        <f t="shared" si="7"/>
        <v>0</v>
      </c>
      <c r="J70" s="26">
        <f t="shared" si="6"/>
        <v>0</v>
      </c>
      <c r="K70" s="57">
        <f t="shared" si="4"/>
        <v>0</v>
      </c>
    </row>
    <row r="71" spans="4:11" x14ac:dyDescent="0.25">
      <c r="E71" s="26"/>
      <c r="F71" s="26"/>
      <c r="G71" s="26"/>
      <c r="H71" s="26">
        <f t="shared" ref="H71:I71" si="8">AVERAGE(I71:I72)*H$25</f>
        <v>0</v>
      </c>
      <c r="I71" s="26">
        <f t="shared" si="8"/>
        <v>0</v>
      </c>
      <c r="J71" s="26">
        <f t="shared" si="6"/>
        <v>0</v>
      </c>
      <c r="K71" s="57">
        <f t="shared" si="4"/>
        <v>0</v>
      </c>
    </row>
    <row r="72" spans="4:11" x14ac:dyDescent="0.25">
      <c r="E72" s="26"/>
      <c r="F72" s="26"/>
      <c r="G72" s="26"/>
      <c r="H72" s="26"/>
      <c r="I72" s="26">
        <f>AVERAGE(J72:J73)*I$25</f>
        <v>0</v>
      </c>
      <c r="J72" s="26">
        <f t="shared" si="6"/>
        <v>0</v>
      </c>
      <c r="K72" s="57">
        <f t="shared" si="4"/>
        <v>0</v>
      </c>
    </row>
    <row r="73" spans="4:11" x14ac:dyDescent="0.25">
      <c r="E73" s="26"/>
      <c r="F73" s="26"/>
      <c r="G73" s="26"/>
      <c r="H73" s="26"/>
      <c r="I73" s="26"/>
      <c r="J73" s="26">
        <f>AVERAGE(K73:K74)*J$25</f>
        <v>0</v>
      </c>
      <c r="K73" s="57">
        <f t="shared" si="4"/>
        <v>0</v>
      </c>
    </row>
    <row r="74" spans="4:11" x14ac:dyDescent="0.25">
      <c r="E74" s="26"/>
      <c r="F74" s="26"/>
      <c r="G74" s="26"/>
      <c r="H74" s="26"/>
      <c r="I74" s="26"/>
      <c r="J74" s="26"/>
      <c r="K74" s="57">
        <f t="shared" si="4"/>
        <v>0</v>
      </c>
    </row>
    <row r="76" spans="4:11" ht="16.5" thickBot="1" x14ac:dyDescent="0.3">
      <c r="D76" s="35" t="s">
        <v>38</v>
      </c>
    </row>
    <row r="77" spans="4:11" ht="16.5" thickBot="1" x14ac:dyDescent="0.3">
      <c r="E77" s="45">
        <v>0</v>
      </c>
      <c r="F77" s="46">
        <v>1</v>
      </c>
      <c r="G77" s="46">
        <v>2</v>
      </c>
      <c r="H77" s="46">
        <v>3</v>
      </c>
      <c r="I77" s="46">
        <v>4</v>
      </c>
      <c r="J77" s="46">
        <v>5</v>
      </c>
      <c r="K77" s="47">
        <v>6</v>
      </c>
    </row>
    <row r="78" spans="4:11" ht="16.5" thickBot="1" x14ac:dyDescent="0.3">
      <c r="E78" s="34">
        <f t="array" ref="E78:K78">nuevostiempos</f>
        <v>0</v>
      </c>
      <c r="F78" s="5">
        <v>0</v>
      </c>
      <c r="G78" s="5">
        <v>0</v>
      </c>
      <c r="H78" s="5">
        <v>0</v>
      </c>
      <c r="I78" s="5">
        <v>0</v>
      </c>
      <c r="J78" s="5">
        <v>0</v>
      </c>
      <c r="K78" s="12">
        <v>0</v>
      </c>
    </row>
    <row r="79" spans="4:11" x14ac:dyDescent="0.25">
      <c r="E79" s="74" t="e">
        <f>(F68-F69)/(F50-F51)</f>
        <v>#DIV/0!</v>
      </c>
      <c r="F79" s="74" t="e">
        <f t="shared" ref="F79:J79" si="9">(G68-G69)/(G50-G51)</f>
        <v>#DIV/0!</v>
      </c>
      <c r="G79" s="74" t="e">
        <f t="shared" si="9"/>
        <v>#DIV/0!</v>
      </c>
      <c r="H79" s="74" t="e">
        <f t="shared" si="9"/>
        <v>#DIV/0!</v>
      </c>
      <c r="I79" s="74" t="e">
        <f t="shared" si="9"/>
        <v>#DIV/0!</v>
      </c>
      <c r="J79" s="74" t="e">
        <f t="shared" si="9"/>
        <v>#DIV/0!</v>
      </c>
      <c r="K79" s="74"/>
    </row>
    <row r="80" spans="4:11" x14ac:dyDescent="0.25">
      <c r="E80" s="74"/>
      <c r="F80" s="74" t="e">
        <f t="shared" ref="F80:J80" si="10">(G69-G70)/(G51-G52)</f>
        <v>#DIV/0!</v>
      </c>
      <c r="G80" s="74" t="e">
        <f t="shared" si="10"/>
        <v>#DIV/0!</v>
      </c>
      <c r="H80" s="74" t="e">
        <f t="shared" si="10"/>
        <v>#DIV/0!</v>
      </c>
      <c r="I80" s="74" t="e">
        <f t="shared" si="10"/>
        <v>#DIV/0!</v>
      </c>
      <c r="J80" s="74" t="e">
        <f t="shared" si="10"/>
        <v>#DIV/0!</v>
      </c>
      <c r="K80" s="74"/>
    </row>
    <row r="81" spans="4:13" x14ac:dyDescent="0.25">
      <c r="E81" s="74"/>
      <c r="F81" s="74"/>
      <c r="G81" s="74" t="e">
        <f t="shared" ref="G81:J81" si="11">(H70-H71)/(H52-H53)</f>
        <v>#DIV/0!</v>
      </c>
      <c r="H81" s="74" t="e">
        <f t="shared" si="11"/>
        <v>#DIV/0!</v>
      </c>
      <c r="I81" s="74" t="e">
        <f t="shared" si="11"/>
        <v>#DIV/0!</v>
      </c>
      <c r="J81" s="74" t="e">
        <f t="shared" si="11"/>
        <v>#DIV/0!</v>
      </c>
      <c r="K81" s="74"/>
    </row>
    <row r="82" spans="4:13" x14ac:dyDescent="0.25">
      <c r="E82" s="74"/>
      <c r="F82" s="74"/>
      <c r="G82" s="74"/>
      <c r="H82" s="74" t="e">
        <f t="shared" ref="H82:J82" si="12">(I71-I72)/(I53-I54)</f>
        <v>#DIV/0!</v>
      </c>
      <c r="I82" s="74" t="e">
        <f t="shared" si="12"/>
        <v>#DIV/0!</v>
      </c>
      <c r="J82" s="74" t="e">
        <f t="shared" si="12"/>
        <v>#DIV/0!</v>
      </c>
      <c r="K82" s="74"/>
    </row>
    <row r="83" spans="4:13" x14ac:dyDescent="0.25">
      <c r="E83" s="74"/>
      <c r="F83" s="74"/>
      <c r="G83" s="74"/>
      <c r="H83" s="74"/>
      <c r="I83" s="74" t="e">
        <f t="shared" ref="I83:J83" si="13">(J72-J73)/(J54-J55)</f>
        <v>#DIV/0!</v>
      </c>
      <c r="J83" s="74" t="e">
        <f t="shared" si="13"/>
        <v>#DIV/0!</v>
      </c>
      <c r="K83" s="74"/>
    </row>
    <row r="84" spans="4:13" x14ac:dyDescent="0.25">
      <c r="E84" s="74"/>
      <c r="F84" s="74"/>
      <c r="G84" s="74"/>
      <c r="H84" s="74"/>
      <c r="I84" s="74"/>
      <c r="J84" s="74" t="e">
        <f>(K73-K74)/(K55-K56)</f>
        <v>#DIV/0!</v>
      </c>
      <c r="K84" s="74"/>
    </row>
    <row r="85" spans="4:13" x14ac:dyDescent="0.25">
      <c r="E85" s="74"/>
      <c r="F85" s="74"/>
      <c r="G85" s="74"/>
      <c r="H85" s="74"/>
      <c r="I85" s="74"/>
      <c r="J85" s="74"/>
      <c r="K85" s="74"/>
    </row>
    <row r="86" spans="4:13" ht="16.5" thickBot="1" x14ac:dyDescent="0.3">
      <c r="D86" s="35" t="s">
        <v>39</v>
      </c>
    </row>
    <row r="87" spans="4:13" ht="16.5" thickBot="1" x14ac:dyDescent="0.3">
      <c r="E87" s="45">
        <v>0</v>
      </c>
      <c r="F87" s="46">
        <v>1</v>
      </c>
      <c r="G87" s="46">
        <v>2</v>
      </c>
      <c r="H87" s="46">
        <v>3</v>
      </c>
      <c r="I87" s="46">
        <v>4</v>
      </c>
      <c r="J87" s="46">
        <v>5</v>
      </c>
      <c r="K87" s="47">
        <v>6</v>
      </c>
    </row>
    <row r="88" spans="4:13" ht="16.5" thickBot="1" x14ac:dyDescent="0.3">
      <c r="E88" s="34">
        <f t="array" ref="E88:K88">nuevostiempos</f>
        <v>0</v>
      </c>
      <c r="F88" s="5">
        <v>0</v>
      </c>
      <c r="G88" s="5">
        <v>0</v>
      </c>
      <c r="H88" s="5">
        <v>0</v>
      </c>
      <c r="I88" s="5">
        <v>0</v>
      </c>
      <c r="J88" s="5">
        <v>0</v>
      </c>
      <c r="K88" s="12">
        <v>0</v>
      </c>
    </row>
    <row r="89" spans="4:13" x14ac:dyDescent="0.25">
      <c r="F89" s="3">
        <f ca="1">IF(RAND()&lt;50%,1,-1)</f>
        <v>1</v>
      </c>
      <c r="G89" s="3">
        <f t="shared" ref="G89:K89" ca="1" si="14">IF(RAND()&lt;50%,1,-1)</f>
        <v>1</v>
      </c>
      <c r="H89" s="3">
        <f t="shared" ca="1" si="14"/>
        <v>-1</v>
      </c>
      <c r="I89" s="3">
        <f t="shared" ca="1" si="14"/>
        <v>-1</v>
      </c>
      <c r="J89" s="3">
        <f t="shared" ca="1" si="14"/>
        <v>-1</v>
      </c>
      <c r="K89" s="3">
        <f t="shared" ca="1" si="14"/>
        <v>-1</v>
      </c>
    </row>
    <row r="90" spans="4:13" x14ac:dyDescent="0.25">
      <c r="F90" s="3">
        <f ca="1">IF(F89=1,0,1)</f>
        <v>0</v>
      </c>
      <c r="G90" s="3">
        <f t="shared" ref="G90:K90" ca="1" si="15">IF(G89=1,0,1)</f>
        <v>0</v>
      </c>
      <c r="H90" s="3">
        <f t="shared" ca="1" si="15"/>
        <v>1</v>
      </c>
      <c r="I90" s="3">
        <f t="shared" ca="1" si="15"/>
        <v>1</v>
      </c>
      <c r="J90" s="3">
        <f t="shared" ca="1" si="15"/>
        <v>1</v>
      </c>
      <c r="K90" s="3">
        <f t="shared" ca="1" si="15"/>
        <v>1</v>
      </c>
    </row>
    <row r="91" spans="4:13" x14ac:dyDescent="0.25">
      <c r="F91" s="3">
        <f ca="1">SUM($F$90:F90)</f>
        <v>0</v>
      </c>
      <c r="G91" s="3">
        <f ca="1">SUM($F$90:G90)</f>
        <v>0</v>
      </c>
      <c r="H91" s="3">
        <f ca="1">SUM($F$90:H90)</f>
        <v>1</v>
      </c>
      <c r="I91" s="3">
        <f ca="1">SUM($F$90:I90)</f>
        <v>2</v>
      </c>
      <c r="J91" s="3">
        <f ca="1">SUM($F$90:J90)</f>
        <v>3</v>
      </c>
      <c r="K91" s="3">
        <f ca="1">SUM($F$90:K90)</f>
        <v>4</v>
      </c>
    </row>
    <row r="92" spans="4:13" x14ac:dyDescent="0.25">
      <c r="D92" s="9" t="s">
        <v>40</v>
      </c>
      <c r="E92" s="58">
        <f>S0</f>
        <v>80</v>
      </c>
      <c r="F92" s="58">
        <f ca="1">OFFSET(F50,F91,0)</f>
        <v>0</v>
      </c>
      <c r="G92" s="58">
        <f t="shared" ref="G92:K92" ca="1" si="16">OFFSET(G50,G91,0)</f>
        <v>0</v>
      </c>
      <c r="H92" s="58">
        <f t="shared" ca="1" si="16"/>
        <v>0</v>
      </c>
      <c r="I92" s="58">
        <f t="shared" ca="1" si="16"/>
        <v>0</v>
      </c>
      <c r="J92" s="58">
        <f t="shared" ca="1" si="16"/>
        <v>0</v>
      </c>
      <c r="K92" s="58">
        <f t="shared" ca="1" si="16"/>
        <v>0</v>
      </c>
      <c r="M92" s="3" t="s">
        <v>49</v>
      </c>
    </row>
    <row r="93" spans="4:13" x14ac:dyDescent="0.25">
      <c r="D93" s="9" t="s">
        <v>41</v>
      </c>
      <c r="E93" s="59" t="e">
        <f>E79</f>
        <v>#DIV/0!</v>
      </c>
      <c r="F93" s="59" t="e">
        <f ca="1">OFFSET(F79,F91,0)</f>
        <v>#DIV/0!</v>
      </c>
      <c r="G93" s="59" t="e">
        <f t="shared" ref="G93:J93" ca="1" si="17">OFFSET(G79,G91,0)</f>
        <v>#DIV/0!</v>
      </c>
      <c r="H93" s="59" t="e">
        <f t="shared" ca="1" si="17"/>
        <v>#DIV/0!</v>
      </c>
      <c r="I93" s="59" t="e">
        <f t="shared" ca="1" si="17"/>
        <v>#DIV/0!</v>
      </c>
      <c r="J93" s="59" t="e">
        <f t="shared" ca="1" si="17"/>
        <v>#DIV/0!</v>
      </c>
      <c r="M93" s="60">
        <f ca="1">MAX(callput*(K92-strike),0)</f>
        <v>0</v>
      </c>
    </row>
    <row r="96" spans="4:13" x14ac:dyDescent="0.25">
      <c r="D96" s="35" t="s">
        <v>42</v>
      </c>
    </row>
    <row r="97" spans="4:11" x14ac:dyDescent="0.25">
      <c r="D97" s="9" t="s">
        <v>43</v>
      </c>
      <c r="E97" s="3" t="e">
        <f t="shared" ref="E97:J97" si="18">E93</f>
        <v>#DIV/0!</v>
      </c>
      <c r="F97" s="3" t="e">
        <f t="shared" ca="1" si="18"/>
        <v>#DIV/0!</v>
      </c>
      <c r="G97" s="3" t="e">
        <f t="shared" ca="1" si="18"/>
        <v>#DIV/0!</v>
      </c>
      <c r="H97" s="3" t="e">
        <f t="shared" ca="1" si="18"/>
        <v>#DIV/0!</v>
      </c>
      <c r="I97" s="3" t="e">
        <f t="shared" ca="1" si="18"/>
        <v>#DIV/0!</v>
      </c>
      <c r="J97" s="3" t="e">
        <f t="shared" ca="1" si="18"/>
        <v>#DIV/0!</v>
      </c>
    </row>
    <row r="98" spans="4:11" x14ac:dyDescent="0.25">
      <c r="D98" s="9" t="s">
        <v>44</v>
      </c>
      <c r="E98" s="3" t="e">
        <f>E99-E97*E92</f>
        <v>#DIV/0!</v>
      </c>
      <c r="F98" s="3" t="e">
        <f ca="1">E98/E25-(F97-E97)*F92</f>
        <v>#DIV/0!</v>
      </c>
      <c r="G98" s="3" t="e">
        <f ca="1">F98/F25-(G97-F97)*G92</f>
        <v>#DIV/0!</v>
      </c>
      <c r="H98" s="3" t="e">
        <f ca="1">G98/G25-(H97-G97)*H92</f>
        <v>#DIV/0!</v>
      </c>
      <c r="I98" s="3" t="e">
        <f ca="1">H98/H25-(I97-H97)*I92</f>
        <v>#DIV/0!</v>
      </c>
      <c r="J98" s="3" t="e">
        <f ca="1">I98/I25-(J97-I97)*J92</f>
        <v>#DIV/0!</v>
      </c>
    </row>
    <row r="99" spans="4:11" x14ac:dyDescent="0.25">
      <c r="D99" s="9" t="s">
        <v>45</v>
      </c>
      <c r="E99" s="50">
        <f>E68</f>
        <v>0</v>
      </c>
      <c r="K99" s="60" t="e">
        <f ca="1">J97*K92+J98/J25</f>
        <v>#DIV/0!</v>
      </c>
    </row>
  </sheetData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D5112-29FB-4671-B37C-A9C86DFEDA2C}">
  <sheetPr codeName="Hoja2"/>
  <dimension ref="B1:S99"/>
  <sheetViews>
    <sheetView showGridLines="0" workbookViewId="0"/>
  </sheetViews>
  <sheetFormatPr defaultColWidth="11.42578125" defaultRowHeight="15.75" x14ac:dyDescent="0.25"/>
  <cols>
    <col min="1" max="4" width="11.42578125" style="3"/>
    <col min="5" max="7" width="15.28515625" style="3" bestFit="1" customWidth="1"/>
    <col min="8" max="11" width="16.5703125" style="3" bestFit="1" customWidth="1"/>
    <col min="12" max="13" width="11.42578125" style="3"/>
    <col min="14" max="14" width="7" style="3" customWidth="1"/>
    <col min="15" max="17" width="11.42578125" style="3"/>
    <col min="18" max="18" width="14" style="3" bestFit="1" customWidth="1"/>
    <col min="19" max="16384" width="11.42578125" style="3"/>
  </cols>
  <sheetData>
    <row r="1" spans="3:19" ht="16.5" thickBot="1" x14ac:dyDescent="0.3"/>
    <row r="2" spans="3:19" ht="16.5" thickBot="1" x14ac:dyDescent="0.3">
      <c r="D2" s="10" t="s">
        <v>7</v>
      </c>
      <c r="E2" s="75">
        <v>6</v>
      </c>
    </row>
    <row r="3" spans="3:19" ht="16.5" thickBot="1" x14ac:dyDescent="0.3">
      <c r="D3" s="10" t="s">
        <v>8</v>
      </c>
      <c r="E3" s="75">
        <v>0.5</v>
      </c>
    </row>
    <row r="4" spans="3:19" x14ac:dyDescent="0.25">
      <c r="D4" s="10" t="s">
        <v>4</v>
      </c>
      <c r="E4" s="3">
        <f>1/12</f>
        <v>8.3333333333333329E-2</v>
      </c>
    </row>
    <row r="5" spans="3:19" ht="16.5" thickBot="1" x14ac:dyDescent="0.3">
      <c r="O5" s="3" t="s">
        <v>18</v>
      </c>
    </row>
    <row r="6" spans="3:19" ht="16.5" thickBot="1" x14ac:dyDescent="0.3">
      <c r="C6" s="8"/>
      <c r="D6" s="7" t="s">
        <v>0</v>
      </c>
    </row>
    <row r="7" spans="3:19" ht="16.5" thickBot="1" x14ac:dyDescent="0.3">
      <c r="O7" s="3" t="s">
        <v>11</v>
      </c>
      <c r="P7" s="3" t="s">
        <v>13</v>
      </c>
      <c r="Q7" s="3" t="s">
        <v>14</v>
      </c>
      <c r="R7" s="3" t="s">
        <v>15</v>
      </c>
      <c r="S7" s="3" t="s">
        <v>16</v>
      </c>
    </row>
    <row r="8" spans="3:19" ht="16.5" thickBot="1" x14ac:dyDescent="0.3">
      <c r="O8" s="3">
        <v>0</v>
      </c>
      <c r="P8" s="20">
        <f t="array" ref="P8:P14">TRANSPOSE(E16:K16)</f>
        <v>0</v>
      </c>
      <c r="Q8" s="21">
        <f t="array" ref="Q8:Q14">TRANSPOSE(E10:K10)</f>
        <v>0</v>
      </c>
      <c r="R8" s="20">
        <f t="shared" ref="R8:R14" si="0">O8*pasovola^2</f>
        <v>0</v>
      </c>
      <c r="S8" s="39">
        <v>0</v>
      </c>
    </row>
    <row r="9" spans="3:19" ht="16.5" thickBot="1" x14ac:dyDescent="0.3">
      <c r="D9" s="4" t="s">
        <v>1</v>
      </c>
      <c r="E9" s="11">
        <v>0</v>
      </c>
      <c r="F9" s="5">
        <v>1</v>
      </c>
      <c r="G9" s="5">
        <v>2</v>
      </c>
      <c r="H9" s="5">
        <v>3</v>
      </c>
      <c r="I9" s="5">
        <v>4</v>
      </c>
      <c r="J9" s="5">
        <v>5</v>
      </c>
      <c r="K9" s="12">
        <v>6</v>
      </c>
      <c r="O9" s="3">
        <v>1</v>
      </c>
      <c r="P9" s="22">
        <v>6.0750000000000005E-3</v>
      </c>
      <c r="Q9" s="23">
        <v>8.3333333333333329E-2</v>
      </c>
      <c r="R9" s="22">
        <f t="shared" si="0"/>
        <v>1.1102083333333334E-2</v>
      </c>
      <c r="S9" s="40">
        <f>InterPola(R9,$P$8:$Q$14,1)</f>
        <v>0.13608342077649527</v>
      </c>
    </row>
    <row r="10" spans="3:19" ht="16.5" thickBot="1" x14ac:dyDescent="0.3">
      <c r="D10" s="4" t="s">
        <v>2</v>
      </c>
      <c r="E10" s="69">
        <f t="shared" ref="E10:K10" si="1">E9*deltat</f>
        <v>0</v>
      </c>
      <c r="F10" s="70">
        <f t="shared" si="1"/>
        <v>8.3333333333333329E-2</v>
      </c>
      <c r="G10" s="70">
        <f t="shared" si="1"/>
        <v>0.16666666666666666</v>
      </c>
      <c r="H10" s="70">
        <f t="shared" si="1"/>
        <v>0.25</v>
      </c>
      <c r="I10" s="70">
        <f t="shared" si="1"/>
        <v>0.33333333333333331</v>
      </c>
      <c r="J10" s="70">
        <f t="shared" si="1"/>
        <v>0.41666666666666663</v>
      </c>
      <c r="K10" s="71">
        <f t="shared" si="1"/>
        <v>0.5</v>
      </c>
      <c r="O10" s="3">
        <v>2</v>
      </c>
      <c r="P10" s="22">
        <v>1.4016666666666665E-2</v>
      </c>
      <c r="Q10" s="23">
        <v>0.16666666666666666</v>
      </c>
      <c r="R10" s="22">
        <f t="shared" si="0"/>
        <v>2.2204166666666667E-2</v>
      </c>
      <c r="S10" s="40">
        <f t="shared" ref="S10:S14" si="2">InterPola(R10,$P$8:$Q$14,1)</f>
        <v>0.21250933184023887</v>
      </c>
    </row>
    <row r="11" spans="3:19" x14ac:dyDescent="0.25">
      <c r="D11" s="4" t="s">
        <v>3</v>
      </c>
      <c r="E11" s="16"/>
      <c r="F11" s="17">
        <v>6.4000000000000003E-3</v>
      </c>
      <c r="G11" s="17">
        <v>9.1999999999999998E-3</v>
      </c>
      <c r="H11" s="17">
        <v>1.21E-2</v>
      </c>
      <c r="I11" s="17">
        <v>1.24E-2</v>
      </c>
      <c r="J11" s="17">
        <v>1.29E-2</v>
      </c>
      <c r="K11" s="17">
        <v>1.78E-2</v>
      </c>
      <c r="O11" s="3">
        <v>3</v>
      </c>
      <c r="P11" s="22">
        <v>2.8900000000000006E-2</v>
      </c>
      <c r="Q11" s="23">
        <v>0.25</v>
      </c>
      <c r="R11" s="22">
        <f t="shared" si="0"/>
        <v>3.3306250000000003E-2</v>
      </c>
      <c r="S11" s="40">
        <f t="shared" si="2"/>
        <v>0.28076990223463688</v>
      </c>
    </row>
    <row r="12" spans="3:19" ht="18.75" x14ac:dyDescent="0.35">
      <c r="D12" s="4" t="s">
        <v>5</v>
      </c>
      <c r="E12" s="18"/>
      <c r="F12" s="19">
        <v>0.27</v>
      </c>
      <c r="G12" s="19">
        <v>0.28999999999999998</v>
      </c>
      <c r="H12" s="19">
        <v>0.34</v>
      </c>
      <c r="I12" s="19">
        <v>0.35</v>
      </c>
      <c r="J12" s="19">
        <v>0.36</v>
      </c>
      <c r="K12" s="19">
        <v>0.36499999999999999</v>
      </c>
      <c r="O12" s="3">
        <v>4</v>
      </c>
      <c r="P12" s="22">
        <v>4.0833333333333326E-2</v>
      </c>
      <c r="Q12" s="23">
        <v>0.33333333333333331</v>
      </c>
      <c r="R12" s="22">
        <f t="shared" si="0"/>
        <v>4.4408333333333334E-2</v>
      </c>
      <c r="S12" s="40">
        <f t="shared" si="2"/>
        <v>0.35595991561181439</v>
      </c>
    </row>
    <row r="13" spans="3:19" x14ac:dyDescent="0.25">
      <c r="D13" s="1" t="s">
        <v>17</v>
      </c>
      <c r="E13" s="15">
        <v>80</v>
      </c>
      <c r="F13" s="18"/>
      <c r="G13" s="18"/>
      <c r="H13" s="18"/>
      <c r="I13" s="18"/>
      <c r="J13" s="18"/>
      <c r="K13" s="18"/>
      <c r="O13" s="3">
        <v>5</v>
      </c>
      <c r="P13" s="22">
        <v>5.3999999999999992E-2</v>
      </c>
      <c r="Q13" s="23">
        <v>0.41666666666666663</v>
      </c>
      <c r="R13" s="22">
        <f t="shared" si="0"/>
        <v>5.5510416666666666E-2</v>
      </c>
      <c r="S13" s="40">
        <f t="shared" si="2"/>
        <v>0.42664629446096247</v>
      </c>
    </row>
    <row r="14" spans="3:19" ht="16.5" thickBot="1" x14ac:dyDescent="0.3">
      <c r="E14" s="18"/>
      <c r="F14" s="18"/>
      <c r="G14" s="18"/>
      <c r="H14" s="18"/>
      <c r="I14" s="18"/>
      <c r="J14" s="18"/>
      <c r="K14" s="18"/>
      <c r="O14" s="3">
        <v>6</v>
      </c>
      <c r="P14" s="24">
        <v>6.6612499999999991E-2</v>
      </c>
      <c r="Q14" s="25">
        <v>0.5</v>
      </c>
      <c r="R14" s="24">
        <f t="shared" si="0"/>
        <v>6.6612500000000005E-2</v>
      </c>
      <c r="S14" s="41">
        <f t="shared" si="2"/>
        <v>0.50000000000000011</v>
      </c>
    </row>
    <row r="15" spans="3:19" ht="16.5" thickBot="1" x14ac:dyDescent="0.3"/>
    <row r="16" spans="3:19" ht="16.5" thickBot="1" x14ac:dyDescent="0.3">
      <c r="D16" s="9" t="s">
        <v>12</v>
      </c>
      <c r="E16" s="54">
        <v>0</v>
      </c>
      <c r="F16" s="55">
        <f t="shared" ref="F16:K16" si="3">F10*F12^2</f>
        <v>6.0750000000000005E-3</v>
      </c>
      <c r="G16" s="55">
        <f t="shared" si="3"/>
        <v>1.4016666666666665E-2</v>
      </c>
      <c r="H16" s="55">
        <f t="shared" si="3"/>
        <v>2.8900000000000006E-2</v>
      </c>
      <c r="I16" s="55">
        <f t="shared" si="3"/>
        <v>4.0833333333333326E-2</v>
      </c>
      <c r="J16" s="55">
        <f t="shared" si="3"/>
        <v>5.3999999999999992E-2</v>
      </c>
      <c r="K16" s="56">
        <f t="shared" si="3"/>
        <v>6.6612499999999991E-2</v>
      </c>
      <c r="O16" s="3" t="s">
        <v>19</v>
      </c>
    </row>
    <row r="17" spans="4:19" ht="16.5" thickBot="1" x14ac:dyDescent="0.3">
      <c r="D17" s="9" t="s">
        <v>6</v>
      </c>
      <c r="E17" s="6">
        <f>K16</f>
        <v>6.6612499999999991E-2</v>
      </c>
      <c r="O17" s="3" t="s">
        <v>11</v>
      </c>
      <c r="P17" s="3" t="s">
        <v>14</v>
      </c>
      <c r="Q17" s="3" t="s">
        <v>20</v>
      </c>
      <c r="R17" s="3" t="s">
        <v>16</v>
      </c>
      <c r="S17" s="3" t="s">
        <v>21</v>
      </c>
    </row>
    <row r="18" spans="4:19" ht="16.5" thickBot="1" x14ac:dyDescent="0.3">
      <c r="D18" s="9" t="s">
        <v>9</v>
      </c>
      <c r="E18" s="13">
        <f>E17/E2</f>
        <v>1.1102083333333332E-2</v>
      </c>
      <c r="O18" s="3">
        <v>0</v>
      </c>
      <c r="P18" s="30">
        <f t="array" ref="P18:P24">TRANSPOSE(E10:K10)</f>
        <v>0</v>
      </c>
      <c r="Q18" s="27">
        <v>0</v>
      </c>
      <c r="R18" s="30">
        <f t="array" ref="R18:R24">S8:S14</f>
        <v>0</v>
      </c>
      <c r="S18" s="42">
        <v>0</v>
      </c>
    </row>
    <row r="19" spans="4:19" ht="16.5" thickBot="1" x14ac:dyDescent="0.3">
      <c r="D19" s="9" t="s">
        <v>10</v>
      </c>
      <c r="E19" s="72">
        <f>SQRT(E18)</f>
        <v>0.1053664241271067</v>
      </c>
      <c r="G19" s="3" t="s">
        <v>26</v>
      </c>
      <c r="H19" s="73">
        <f>2/(EXP(pasovola)+EXP(-pasovola))</f>
        <v>0.99447452130517711</v>
      </c>
      <c r="I19" s="6">
        <f>1/COSH(pasovola)</f>
        <v>0.99447452130517711</v>
      </c>
      <c r="O19" s="3">
        <v>1</v>
      </c>
      <c r="P19" s="31">
        <v>8.3333333333333329E-2</v>
      </c>
      <c r="Q19" s="28">
        <f t="array" ref="Q19:Q24">TRANSPOSE(F11:K11)</f>
        <v>6.4000000000000003E-3</v>
      </c>
      <c r="R19" s="31">
        <v>0.13608342077649527</v>
      </c>
      <c r="S19" s="43">
        <f>InterPola(R19,$P$18:$Q$24,1)</f>
        <v>8.1724029380902414E-3</v>
      </c>
    </row>
    <row r="20" spans="4:19" ht="16.5" thickBot="1" x14ac:dyDescent="0.3">
      <c r="O20" s="3">
        <v>2</v>
      </c>
      <c r="P20" s="31">
        <v>0.16666666666666666</v>
      </c>
      <c r="Q20" s="28">
        <v>9.1999999999999998E-3</v>
      </c>
      <c r="R20" s="31">
        <v>0.21250933184023887</v>
      </c>
      <c r="S20" s="43">
        <f t="shared" ref="S20:S24" si="4">InterPola(R20,$P$18:$Q$24,1)</f>
        <v>1.0795324748040312E-2</v>
      </c>
    </row>
    <row r="21" spans="4:19" ht="16.5" thickBot="1" x14ac:dyDescent="0.3">
      <c r="E21" s="11">
        <v>0</v>
      </c>
      <c r="F21" s="5">
        <v>1</v>
      </c>
      <c r="G21" s="5">
        <v>2</v>
      </c>
      <c r="H21" s="5">
        <v>3</v>
      </c>
      <c r="I21" s="5">
        <v>4</v>
      </c>
      <c r="J21" s="5">
        <v>5</v>
      </c>
      <c r="K21" s="12">
        <v>6</v>
      </c>
      <c r="O21" s="3">
        <v>3</v>
      </c>
      <c r="P21" s="31">
        <v>0.25</v>
      </c>
      <c r="Q21" s="28">
        <v>1.21E-2</v>
      </c>
      <c r="R21" s="31">
        <v>0.28076990223463688</v>
      </c>
      <c r="S21" s="43">
        <f t="shared" si="4"/>
        <v>1.2210771648044693E-2</v>
      </c>
    </row>
    <row r="22" spans="4:19" ht="16.5" thickBot="1" x14ac:dyDescent="0.3">
      <c r="D22" s="4" t="s">
        <v>2</v>
      </c>
      <c r="E22" s="69">
        <f t="array" ref="E22:K22">TRANSPOSE(S8:S14)</f>
        <v>0</v>
      </c>
      <c r="F22" s="70">
        <v>0.13608342077649527</v>
      </c>
      <c r="G22" s="70">
        <v>0.21250933184023887</v>
      </c>
      <c r="H22" s="70">
        <v>0.28076990223463688</v>
      </c>
      <c r="I22" s="70">
        <v>0.35595991561181439</v>
      </c>
      <c r="J22" s="70">
        <v>0.42664629446096247</v>
      </c>
      <c r="K22" s="71">
        <v>0.50000000000000011</v>
      </c>
      <c r="O22" s="3">
        <v>4</v>
      </c>
      <c r="P22" s="31">
        <v>0.33333333333333331</v>
      </c>
      <c r="Q22" s="28">
        <v>1.24E-2</v>
      </c>
      <c r="R22" s="31">
        <v>0.35595991561181439</v>
      </c>
      <c r="S22" s="43">
        <f t="shared" si="4"/>
        <v>1.2535759493670886E-2</v>
      </c>
    </row>
    <row r="23" spans="4:19" x14ac:dyDescent="0.25">
      <c r="D23" s="4" t="s">
        <v>3</v>
      </c>
      <c r="E23" s="17">
        <f t="array" ref="E23:K23">TRANSPOSE(S18:S24)</f>
        <v>0</v>
      </c>
      <c r="F23" s="17">
        <v>8.1724029380902414E-3</v>
      </c>
      <c r="G23" s="17">
        <v>1.0795324748040312E-2</v>
      </c>
      <c r="H23" s="17">
        <v>1.2210771648044693E-2</v>
      </c>
      <c r="I23" s="17">
        <v>1.2535759493670886E-2</v>
      </c>
      <c r="J23" s="17">
        <v>1.3486802114304596E-2</v>
      </c>
      <c r="K23" s="17">
        <v>1.7800000000000007E-2</v>
      </c>
      <c r="O23" s="3">
        <v>5</v>
      </c>
      <c r="P23" s="31">
        <v>0.41666666666666663</v>
      </c>
      <c r="Q23" s="28">
        <v>1.29E-2</v>
      </c>
      <c r="R23" s="31">
        <v>0.42664629446096247</v>
      </c>
      <c r="S23" s="43">
        <f t="shared" si="4"/>
        <v>1.3486802114304596E-2</v>
      </c>
    </row>
    <row r="24" spans="4:19" ht="16.5" thickBot="1" x14ac:dyDescent="0.3">
      <c r="D24" s="33" t="s">
        <v>23</v>
      </c>
      <c r="E24" s="19">
        <f>EXP(-E23*E22)</f>
        <v>1</v>
      </c>
      <c r="F24" s="19">
        <f t="shared" ref="F24:K24" si="5">EXP(-F23*F22)</f>
        <v>0.9988884896379856</v>
      </c>
      <c r="G24" s="19">
        <f t="shared" si="5"/>
        <v>0.99770852220369766</v>
      </c>
      <c r="H24" s="19">
        <f t="shared" si="5"/>
        <v>0.99657745314974489</v>
      </c>
      <c r="I24" s="19">
        <f t="shared" si="5"/>
        <v>0.99554771305562695</v>
      </c>
      <c r="J24" s="19">
        <f t="shared" si="5"/>
        <v>0.99426242894652428</v>
      </c>
      <c r="K24" s="19">
        <f t="shared" si="5"/>
        <v>0.99113948776612804</v>
      </c>
      <c r="O24" s="3">
        <v>6</v>
      </c>
      <c r="P24" s="32">
        <v>0.5</v>
      </c>
      <c r="Q24" s="29">
        <v>1.78E-2</v>
      </c>
      <c r="R24" s="32">
        <v>0.50000000000000011</v>
      </c>
      <c r="S24" s="44">
        <f t="shared" si="4"/>
        <v>1.7800000000000007E-2</v>
      </c>
    </row>
    <row r="25" spans="4:19" x14ac:dyDescent="0.25">
      <c r="D25" s="4" t="s">
        <v>22</v>
      </c>
      <c r="E25" s="36">
        <f>F24/E24</f>
        <v>0.9988884896379856</v>
      </c>
      <c r="F25" s="36">
        <f t="shared" ref="F25:J25" si="6">G24/F24</f>
        <v>0.9988187195602628</v>
      </c>
      <c r="G25" s="36">
        <f t="shared" si="6"/>
        <v>0.99886633317368634</v>
      </c>
      <c r="H25" s="36">
        <f t="shared" si="6"/>
        <v>0.99896672346854387</v>
      </c>
      <c r="I25" s="36">
        <f t="shared" si="6"/>
        <v>0.99870896784529017</v>
      </c>
      <c r="J25" s="36">
        <f t="shared" si="6"/>
        <v>0.99685903732306858</v>
      </c>
      <c r="K25" s="18"/>
    </row>
    <row r="28" spans="4:19" ht="16.5" thickBot="1" x14ac:dyDescent="0.3">
      <c r="D28" s="35" t="s">
        <v>24</v>
      </c>
    </row>
    <row r="29" spans="4:19" ht="16.5" thickBot="1" x14ac:dyDescent="0.3">
      <c r="E29" s="45">
        <v>0</v>
      </c>
      <c r="F29" s="46">
        <v>1</v>
      </c>
      <c r="G29" s="46">
        <v>2</v>
      </c>
      <c r="H29" s="46">
        <v>3</v>
      </c>
      <c r="I29" s="46">
        <v>4</v>
      </c>
      <c r="J29" s="46">
        <v>5</v>
      </c>
      <c r="K29" s="47">
        <v>6</v>
      </c>
    </row>
    <row r="30" spans="4:19" ht="16.5" thickBot="1" x14ac:dyDescent="0.3">
      <c r="E30" s="34">
        <f t="array" ref="E30:K30">nuevostiempos</f>
        <v>0</v>
      </c>
      <c r="F30" s="5">
        <v>0.13608342077649527</v>
      </c>
      <c r="G30" s="5">
        <v>0.21250933184023887</v>
      </c>
      <c r="H30" s="5">
        <v>0.28076990223463688</v>
      </c>
      <c r="I30" s="5">
        <v>0.35595991561181439</v>
      </c>
      <c r="J30" s="5">
        <v>0.42664629446096247</v>
      </c>
      <c r="K30" s="12">
        <v>0.50000000000000011</v>
      </c>
    </row>
    <row r="31" spans="4:19" x14ac:dyDescent="0.25">
      <c r="E31" s="3">
        <v>0</v>
      </c>
      <c r="F31" s="3">
        <f t="shared" ref="F31:K31" si="7">E31+pasovola</f>
        <v>0.1053664241271067</v>
      </c>
      <c r="G31" s="3">
        <f t="shared" si="7"/>
        <v>0.2107328482542134</v>
      </c>
      <c r="H31" s="3">
        <f t="shared" si="7"/>
        <v>0.31609927238132007</v>
      </c>
      <c r="I31" s="3">
        <f t="shared" si="7"/>
        <v>0.4214656965084268</v>
      </c>
      <c r="J31" s="3">
        <f t="shared" si="7"/>
        <v>0.52683212063553353</v>
      </c>
      <c r="K31" s="3">
        <f t="shared" si="7"/>
        <v>0.63219854476264026</v>
      </c>
    </row>
    <row r="32" spans="4:19" x14ac:dyDescent="0.25">
      <c r="F32" s="3">
        <f t="shared" ref="F32:K32" si="8">E31-pasovola</f>
        <v>-0.1053664241271067</v>
      </c>
      <c r="G32" s="3">
        <f t="shared" si="8"/>
        <v>0</v>
      </c>
      <c r="H32" s="3">
        <f t="shared" si="8"/>
        <v>0.1053664241271067</v>
      </c>
      <c r="I32" s="3">
        <f t="shared" si="8"/>
        <v>0.21073284825421337</v>
      </c>
      <c r="J32" s="3">
        <f t="shared" si="8"/>
        <v>0.31609927238132007</v>
      </c>
      <c r="K32" s="3">
        <f t="shared" si="8"/>
        <v>0.4214656965084268</v>
      </c>
    </row>
    <row r="33" spans="4:18" x14ac:dyDescent="0.25">
      <c r="G33" s="3">
        <f>F32-pasovola</f>
        <v>-0.2107328482542134</v>
      </c>
      <c r="H33" s="3">
        <f>G32-pasovola</f>
        <v>-0.1053664241271067</v>
      </c>
      <c r="I33" s="3">
        <f>H32-pasovola</f>
        <v>0</v>
      </c>
      <c r="J33" s="3">
        <f>I32-pasovola</f>
        <v>0.10536642412710667</v>
      </c>
      <c r="K33" s="3">
        <f>J32-pasovola</f>
        <v>0.21073284825421337</v>
      </c>
    </row>
    <row r="34" spans="4:18" x14ac:dyDescent="0.25">
      <c r="H34" s="3">
        <f>G33-pasovola</f>
        <v>-0.31609927238132007</v>
      </c>
      <c r="I34" s="3">
        <f>H33-pasovola</f>
        <v>-0.2107328482542134</v>
      </c>
      <c r="J34" s="3">
        <f>I33-pasovola</f>
        <v>-0.1053664241271067</v>
      </c>
      <c r="K34" s="3">
        <f>J33-pasovola</f>
        <v>0</v>
      </c>
    </row>
    <row r="35" spans="4:18" x14ac:dyDescent="0.25">
      <c r="I35" s="3">
        <f>H34-pasovola</f>
        <v>-0.4214656965084268</v>
      </c>
      <c r="J35" s="3">
        <f>I34-pasovola</f>
        <v>-0.31609927238132007</v>
      </c>
      <c r="K35" s="3">
        <f>J34-pasovola</f>
        <v>-0.2107328482542134</v>
      </c>
    </row>
    <row r="36" spans="4:18" x14ac:dyDescent="0.25">
      <c r="J36" s="3">
        <f>I35-pasovola</f>
        <v>-0.52683212063553353</v>
      </c>
      <c r="K36" s="3">
        <f>J35-pasovola</f>
        <v>-0.4214656965084268</v>
      </c>
    </row>
    <row r="37" spans="4:18" x14ac:dyDescent="0.25">
      <c r="K37" s="3">
        <f>J36-pasovola</f>
        <v>-0.63219854476264026</v>
      </c>
    </row>
    <row r="38" spans="4:18" ht="16.5" thickBot="1" x14ac:dyDescent="0.3"/>
    <row r="39" spans="4:18" ht="16.5" thickBot="1" x14ac:dyDescent="0.3">
      <c r="E39" s="45">
        <v>0</v>
      </c>
      <c r="F39" s="46">
        <v>1</v>
      </c>
      <c r="G39" s="46">
        <v>2</v>
      </c>
      <c r="H39" s="46">
        <v>3</v>
      </c>
      <c r="I39" s="46">
        <v>4</v>
      </c>
      <c r="J39" s="46">
        <v>5</v>
      </c>
      <c r="K39" s="47">
        <v>6</v>
      </c>
    </row>
    <row r="40" spans="4:18" ht="16.5" thickBot="1" x14ac:dyDescent="0.3">
      <c r="E40" s="34">
        <f t="array" ref="E40:K40">nuevostiempos</f>
        <v>0</v>
      </c>
      <c r="F40" s="5">
        <v>0.13608342077649527</v>
      </c>
      <c r="G40" s="5">
        <v>0.21250933184023887</v>
      </c>
      <c r="H40" s="5">
        <v>0.28076990223463688</v>
      </c>
      <c r="I40" s="5">
        <v>0.35595991561181439</v>
      </c>
      <c r="J40" s="5">
        <v>0.42664629446096247</v>
      </c>
      <c r="K40" s="12">
        <v>0.50000000000000011</v>
      </c>
    </row>
    <row r="41" spans="4:18" ht="16.5" thickBot="1" x14ac:dyDescent="0.3">
      <c r="D41" s="35" t="s">
        <v>25</v>
      </c>
      <c r="E41" s="54">
        <v>1</v>
      </c>
      <c r="F41" s="55">
        <f>EXP(F23*F22)</f>
        <v>1.0011127471920487</v>
      </c>
      <c r="G41" s="55">
        <f t="shared" ref="G41:K41" si="9">EXP(G23*G22)</f>
        <v>1.0022967407266814</v>
      </c>
      <c r="H41" s="55">
        <f t="shared" si="9"/>
        <v>1.0034343009060038</v>
      </c>
      <c r="I41" s="55">
        <f t="shared" si="9"/>
        <v>1.0044721984551677</v>
      </c>
      <c r="J41" s="55">
        <f t="shared" si="9"/>
        <v>1.0057706807442728</v>
      </c>
      <c r="K41" s="56">
        <f t="shared" si="9"/>
        <v>1.0089397227567254</v>
      </c>
    </row>
    <row r="42" spans="4:18" x14ac:dyDescent="0.25">
      <c r="D42" s="35"/>
      <c r="E42" s="14"/>
      <c r="F42" s="6">
        <f>1/PRODUCT($E$25:E25)</f>
        <v>1.0011127471920487</v>
      </c>
      <c r="G42" s="6">
        <f>1/PRODUCT($E$25:F25)</f>
        <v>1.0022967407266814</v>
      </c>
      <c r="H42" s="6">
        <f>1/PRODUCT($E$25:G25)</f>
        <v>1.0034343009060038</v>
      </c>
      <c r="I42" s="6">
        <f>1/PRODUCT($E$25:H25)</f>
        <v>1.0044721984551677</v>
      </c>
      <c r="J42" s="6">
        <f>1/PRODUCT($E$25:I25)</f>
        <v>1.005770680744273</v>
      </c>
      <c r="K42" s="6">
        <f>1/PRODUCT($E$25:J25)</f>
        <v>1.0089397227567254</v>
      </c>
    </row>
    <row r="43" spans="4:18" ht="16.5" thickBot="1" x14ac:dyDescent="0.3">
      <c r="D43" s="35"/>
      <c r="E43" s="14"/>
      <c r="F43" s="6">
        <f t="shared" ref="F43:K43" si="10">1/F24</f>
        <v>1.0011127471920487</v>
      </c>
      <c r="G43" s="6">
        <f t="shared" si="10"/>
        <v>1.0022967407266814</v>
      </c>
      <c r="H43" s="6">
        <f t="shared" si="10"/>
        <v>1.0034343009060038</v>
      </c>
      <c r="I43" s="6">
        <f t="shared" si="10"/>
        <v>1.0044721984551677</v>
      </c>
      <c r="J43" s="6">
        <f t="shared" si="10"/>
        <v>1.005770680744273</v>
      </c>
      <c r="K43" s="6">
        <f t="shared" si="10"/>
        <v>1.0089397227567254</v>
      </c>
    </row>
    <row r="44" spans="4:18" ht="16.5" thickBot="1" x14ac:dyDescent="0.3">
      <c r="D44" s="35" t="s">
        <v>46</v>
      </c>
      <c r="E44" s="51">
        <f t="shared" ref="E44:K44" si="11">factorVola^E39</f>
        <v>1</v>
      </c>
      <c r="F44" s="52">
        <f t="shared" si="11"/>
        <v>0.99447452130517711</v>
      </c>
      <c r="G44" s="52">
        <f t="shared" si="11"/>
        <v>0.98897957352516119</v>
      </c>
      <c r="H44" s="52">
        <f t="shared" si="11"/>
        <v>0.98351498796203285</v>
      </c>
      <c r="I44" s="52">
        <f t="shared" si="11"/>
        <v>0.9780805968500097</v>
      </c>
      <c r="J44" s="52">
        <f t="shared" si="11"/>
        <v>0.97267623335029529</v>
      </c>
      <c r="K44" s="53">
        <f t="shared" si="11"/>
        <v>0.96730173154595767</v>
      </c>
    </row>
    <row r="45" spans="4:18" x14ac:dyDescent="0.25">
      <c r="E45" s="14">
        <v>1</v>
      </c>
      <c r="F45" s="6">
        <f t="shared" ref="F45:K45" si="12">E45*factorVola</f>
        <v>0.99447452130517711</v>
      </c>
      <c r="G45" s="6">
        <f t="shared" si="12"/>
        <v>0.98897957352516119</v>
      </c>
      <c r="H45" s="6">
        <f t="shared" si="12"/>
        <v>0.98351498796203285</v>
      </c>
      <c r="I45" s="6">
        <f t="shared" si="12"/>
        <v>0.97808059685000959</v>
      </c>
      <c r="J45" s="6">
        <f t="shared" si="12"/>
        <v>0.97267623335029518</v>
      </c>
      <c r="K45" s="6">
        <f t="shared" si="12"/>
        <v>0.96730173154595755</v>
      </c>
      <c r="P45" s="3" t="s">
        <v>33</v>
      </c>
    </row>
    <row r="46" spans="4:18" x14ac:dyDescent="0.25">
      <c r="R46" s="3" t="s">
        <v>32</v>
      </c>
    </row>
    <row r="47" spans="4:18" ht="16.5" thickBot="1" x14ac:dyDescent="0.3">
      <c r="D47" s="35" t="s">
        <v>27</v>
      </c>
      <c r="N47" s="3" t="s">
        <v>34</v>
      </c>
      <c r="R47" s="48">
        <f>K12*SQRT(T)</f>
        <v>0.25809397513308985</v>
      </c>
    </row>
    <row r="48" spans="4:18" ht="16.5" thickBot="1" x14ac:dyDescent="0.3">
      <c r="E48" s="45">
        <v>0</v>
      </c>
      <c r="F48" s="46">
        <v>1</v>
      </c>
      <c r="G48" s="46">
        <v>2</v>
      </c>
      <c r="H48" s="46">
        <v>3</v>
      </c>
      <c r="I48" s="46">
        <v>4</v>
      </c>
      <c r="J48" s="46">
        <v>5</v>
      </c>
      <c r="K48" s="47">
        <v>6</v>
      </c>
      <c r="N48" s="49">
        <f>SUMPRODUCT(K50:K56,M50:M56)*K24</f>
        <v>79.999999999999957</v>
      </c>
    </row>
    <row r="49" spans="2:18" ht="16.5" thickBot="1" x14ac:dyDescent="0.3">
      <c r="E49" s="34">
        <f t="array" ref="E49:K49">nuevostiempos</f>
        <v>0</v>
      </c>
      <c r="F49" s="5">
        <v>0.13608342077649527</v>
      </c>
      <c r="G49" s="5">
        <v>0.21250933184023887</v>
      </c>
      <c r="H49" s="5">
        <v>0.28076990223463688</v>
      </c>
      <c r="I49" s="5">
        <v>0.35595991561181439</v>
      </c>
      <c r="J49" s="5">
        <v>0.42664629446096247</v>
      </c>
      <c r="K49" s="12">
        <v>0.50000000000000011</v>
      </c>
    </row>
    <row r="50" spans="2:18" x14ac:dyDescent="0.25">
      <c r="E50" s="68">
        <f t="shared" ref="E50:K50" si="13">S0*E$41*E$44*EXP(E31)</f>
        <v>80</v>
      </c>
      <c r="F50" s="68">
        <f t="shared" si="13"/>
        <v>88.49662243681469</v>
      </c>
      <c r="G50" s="68">
        <f t="shared" si="13"/>
        <v>97.902490549229128</v>
      </c>
      <c r="H50" s="68">
        <f t="shared" si="13"/>
        <v>108.30289905146171</v>
      </c>
      <c r="I50" s="68">
        <f t="shared" si="13"/>
        <v>119.79612703842754</v>
      </c>
      <c r="J50" s="68">
        <f t="shared" si="13"/>
        <v>132.54322867407586</v>
      </c>
      <c r="K50" s="68">
        <f t="shared" si="13"/>
        <v>146.91884738354187</v>
      </c>
      <c r="L50" s="3">
        <v>6</v>
      </c>
      <c r="M50" s="2">
        <f>BINOMDIST(L50,6,50%,FALSE)</f>
        <v>1.5625000000000007E-2</v>
      </c>
      <c r="P50" s="3">
        <f t="shared" ref="P50:P56" si="14">LN(K50/S0)</f>
        <v>0.60785374104902923</v>
      </c>
      <c r="Q50" s="3" t="s">
        <v>29</v>
      </c>
      <c r="R50" s="37">
        <f>SUMPRODUCT(P50:P56,M50:M56)</f>
        <v>-2.4344803713611061E-2</v>
      </c>
    </row>
    <row r="51" spans="2:18" x14ac:dyDescent="0.25">
      <c r="F51" s="68">
        <f t="shared" ref="F51:K51" si="15">S0*F$41*F$44*EXP(F32)</f>
        <v>71.681417113913085</v>
      </c>
      <c r="G51" s="68">
        <f t="shared" si="15"/>
        <v>79.300080255162598</v>
      </c>
      <c r="H51" s="68">
        <f t="shared" si="15"/>
        <v>87.724311592758667</v>
      </c>
      <c r="I51" s="68">
        <f t="shared" si="15"/>
        <v>97.033716252888098</v>
      </c>
      <c r="J51" s="68">
        <f t="shared" si="15"/>
        <v>107.3587465667935</v>
      </c>
      <c r="K51" s="68">
        <f t="shared" si="15"/>
        <v>119.00286012287346</v>
      </c>
      <c r="L51" s="3">
        <v>5</v>
      </c>
      <c r="M51" s="2">
        <f t="shared" ref="M51:M56" si="16">BINOMDIST(L51,6,50%,FALSE)</f>
        <v>9.375E-2</v>
      </c>
      <c r="P51" s="3">
        <f t="shared" si="14"/>
        <v>0.39712089279481572</v>
      </c>
      <c r="Q51" s="3" t="s">
        <v>30</v>
      </c>
      <c r="R51" s="3">
        <f>SUMPRODUCT(P50:P56^2,M50:M56)</f>
        <v>6.7205169467854278E-2</v>
      </c>
    </row>
    <row r="52" spans="2:18" x14ac:dyDescent="0.25">
      <c r="G52" s="68">
        <f>S0*G$41*G$44*EXP(G33)</f>
        <v>64.232305972983681</v>
      </c>
      <c r="H52" s="68">
        <f>S0*H$41*H$44*EXP(H33)</f>
        <v>71.055852722527376</v>
      </c>
      <c r="I52" s="68">
        <f>S0*I$41*I$44*EXP(I33)</f>
        <v>78.59638139074174</v>
      </c>
      <c r="J52" s="68">
        <f>S0*J$41*J$44*EXP(J33)</f>
        <v>86.959557117287446</v>
      </c>
      <c r="K52" s="68">
        <f>S0*K$41*K$44*EXP(K33)</f>
        <v>96.391177644173425</v>
      </c>
      <c r="L52" s="3">
        <v>4</v>
      </c>
      <c r="M52" s="2">
        <f t="shared" si="16"/>
        <v>0.23437500000000003</v>
      </c>
      <c r="P52" s="3">
        <f t="shared" si="14"/>
        <v>0.18638804454060243</v>
      </c>
      <c r="Q52" s="3" t="s">
        <v>28</v>
      </c>
      <c r="R52" s="3">
        <f>R51-R50^2</f>
        <v>6.6612500000000033E-2</v>
      </c>
    </row>
    <row r="53" spans="2:18" x14ac:dyDescent="0.25">
      <c r="H53" s="68">
        <f>S0*H$41*H$44*EXP(H34)</f>
        <v>57.554560582522399</v>
      </c>
      <c r="I53" s="68">
        <f>S0*I$41*I$44*EXP(I34)</f>
        <v>63.662316628371649</v>
      </c>
      <c r="J53" s="68">
        <f>S0*J$41*J$44*EXP(J34)</f>
        <v>70.43640891736834</v>
      </c>
      <c r="K53" s="68">
        <f>S0*K$41*K$44*EXP(K34)</f>
        <v>78.075931267846315</v>
      </c>
      <c r="L53" s="3">
        <v>3</v>
      </c>
      <c r="M53" s="2">
        <f t="shared" si="16"/>
        <v>0.31249999999999994</v>
      </c>
      <c r="P53" s="3">
        <f t="shared" si="14"/>
        <v>-2.4344803713611047E-2</v>
      </c>
      <c r="Q53" s="3" t="s">
        <v>31</v>
      </c>
      <c r="R53" s="48">
        <f>SQRT(R52)</f>
        <v>0.2580939751330899</v>
      </c>
    </row>
    <row r="54" spans="2:18" x14ac:dyDescent="0.25">
      <c r="I54" s="68">
        <f>S0*I$41*I$44*EXP(I35)</f>
        <v>51.56586711469717</v>
      </c>
      <c r="J54" s="68">
        <f>S0*J$41*J$44*EXP(J35)</f>
        <v>57.052817029451354</v>
      </c>
      <c r="K54" s="68">
        <f>S0*K$41*K$44*EXP(K35)</f>
        <v>63.240757010399896</v>
      </c>
      <c r="L54" s="3">
        <v>2</v>
      </c>
      <c r="M54" s="2">
        <f t="shared" si="16"/>
        <v>0.23437500000000003</v>
      </c>
      <c r="P54" s="3">
        <f t="shared" si="14"/>
        <v>-0.23507765196782451</v>
      </c>
    </row>
    <row r="55" spans="2:18" x14ac:dyDescent="0.25">
      <c r="J55" s="68">
        <f>S0*J$41*J$44*EXP(J36)</f>
        <v>46.212235703478974</v>
      </c>
      <c r="K55" s="68">
        <f>S0*K$41*K$44*EXP(K36)</f>
        <v>51.224407859166931</v>
      </c>
      <c r="L55" s="3">
        <v>1</v>
      </c>
      <c r="M55" s="2">
        <f t="shared" si="16"/>
        <v>9.375E-2</v>
      </c>
      <c r="P55" s="3">
        <f t="shared" si="14"/>
        <v>-0.44581050022203789</v>
      </c>
    </row>
    <row r="56" spans="2:18" x14ac:dyDescent="0.25">
      <c r="K56" s="68">
        <f>S0*K$41*K$44*EXP(K37)</f>
        <v>41.491280063120961</v>
      </c>
      <c r="L56" s="3">
        <v>0</v>
      </c>
      <c r="M56" s="2">
        <f t="shared" si="16"/>
        <v>1.5625000000000007E-2</v>
      </c>
      <c r="P56" s="3">
        <f t="shared" si="14"/>
        <v>-0.6565433484762514</v>
      </c>
    </row>
    <row r="59" spans="2:18" s="38" customFormat="1" x14ac:dyDescent="0.25"/>
    <row r="61" spans="2:18" ht="16.5" thickBot="1" x14ac:dyDescent="0.3"/>
    <row r="62" spans="2:18" ht="24" thickBot="1" x14ac:dyDescent="0.4">
      <c r="B62" s="61" t="s">
        <v>48</v>
      </c>
      <c r="F62" s="62" t="s">
        <v>35</v>
      </c>
      <c r="G62" s="63" t="s">
        <v>36</v>
      </c>
      <c r="H62" s="64" t="s">
        <v>47</v>
      </c>
    </row>
    <row r="63" spans="2:18" ht="16.5" thickBot="1" x14ac:dyDescent="0.3">
      <c r="F63" s="65">
        <v>84</v>
      </c>
      <c r="G63" s="66">
        <f>T</f>
        <v>0.5</v>
      </c>
      <c r="H63" s="67">
        <v>1</v>
      </c>
    </row>
    <row r="65" spans="4:11" ht="16.5" thickBot="1" x14ac:dyDescent="0.3">
      <c r="D65" s="35" t="s">
        <v>37</v>
      </c>
    </row>
    <row r="66" spans="4:11" ht="16.5" thickBot="1" x14ac:dyDescent="0.3">
      <c r="E66" s="45">
        <v>0</v>
      </c>
      <c r="F66" s="46">
        <v>1</v>
      </c>
      <c r="G66" s="46">
        <v>2</v>
      </c>
      <c r="H66" s="46">
        <v>3</v>
      </c>
      <c r="I66" s="46">
        <v>4</v>
      </c>
      <c r="J66" s="46">
        <v>5</v>
      </c>
      <c r="K66" s="47">
        <v>6</v>
      </c>
    </row>
    <row r="67" spans="4:11" ht="16.5" thickBot="1" x14ac:dyDescent="0.3">
      <c r="E67" s="34">
        <f t="array" ref="E67:K67">nuevostiempos</f>
        <v>0</v>
      </c>
      <c r="F67" s="5">
        <v>0.13608342077649527</v>
      </c>
      <c r="G67" s="5">
        <v>0.21250933184023887</v>
      </c>
      <c r="H67" s="5">
        <v>0.28076990223463688</v>
      </c>
      <c r="I67" s="5">
        <v>0.35595991561181439</v>
      </c>
      <c r="J67" s="5">
        <v>0.42664629446096247</v>
      </c>
      <c r="K67" s="12">
        <v>0.50000000000000011</v>
      </c>
    </row>
    <row r="68" spans="4:11" x14ac:dyDescent="0.25">
      <c r="E68" s="26">
        <f t="shared" ref="E68:J72" si="17">AVERAGE(F68:F69)*E$25</f>
        <v>7.1052880816834598</v>
      </c>
      <c r="F68" s="26">
        <f t="shared" si="17"/>
        <v>11.21993335530683</v>
      </c>
      <c r="G68" s="26">
        <f t="shared" si="17"/>
        <v>17.21573286680427</v>
      </c>
      <c r="H68" s="26">
        <f t="shared" si="17"/>
        <v>25.497724796861796</v>
      </c>
      <c r="I68" s="26">
        <f t="shared" si="17"/>
        <v>36.168073977245129</v>
      </c>
      <c r="J68" s="26">
        <f>AVERAGE(K68:K69)*J$25</f>
        <v>48.807069538938144</v>
      </c>
      <c r="K68" s="57">
        <f t="shared" ref="K68:K74" si="18">MAX(callput*(K50-strike),0)</f>
        <v>62.918847383541873</v>
      </c>
    </row>
    <row r="69" spans="4:11" x14ac:dyDescent="0.25">
      <c r="E69" s="26"/>
      <c r="F69" s="26">
        <f t="shared" si="17"/>
        <v>3.006455586783269</v>
      </c>
      <c r="G69" s="26">
        <f t="shared" si="17"/>
        <v>5.2506729695751018</v>
      </c>
      <c r="H69" s="26">
        <f t="shared" si="17"/>
        <v>8.9728190487895514</v>
      </c>
      <c r="I69" s="26">
        <f t="shared" si="17"/>
        <v>14.880122519892117</v>
      </c>
      <c r="J69" s="26">
        <f t="shared" si="17"/>
        <v>23.622587431655756</v>
      </c>
      <c r="K69" s="57">
        <f t="shared" si="18"/>
        <v>35.002860122873457</v>
      </c>
    </row>
    <row r="70" spans="4:11" x14ac:dyDescent="0.25">
      <c r="E70" s="26"/>
      <c r="F70" s="26"/>
      <c r="G70" s="26">
        <f t="shared" si="17"/>
        <v>0.76934953882738999</v>
      </c>
      <c r="H70" s="26">
        <f t="shared" si="17"/>
        <v>1.5404454295359915</v>
      </c>
      <c r="I70" s="26">
        <f t="shared" si="17"/>
        <v>3.0840775640400961</v>
      </c>
      <c r="J70" s="26">
        <f t="shared" si="17"/>
        <v>6.1761287088349244</v>
      </c>
      <c r="K70" s="57">
        <f t="shared" si="18"/>
        <v>12.391177644173425</v>
      </c>
    </row>
    <row r="71" spans="4:11" x14ac:dyDescent="0.25">
      <c r="E71" s="26"/>
      <c r="F71" s="26"/>
      <c r="G71" s="26"/>
      <c r="H71" s="26">
        <f t="shared" si="17"/>
        <v>0</v>
      </c>
      <c r="I71" s="26">
        <f t="shared" si="17"/>
        <v>0</v>
      </c>
      <c r="J71" s="26">
        <f t="shared" si="17"/>
        <v>0</v>
      </c>
      <c r="K71" s="57">
        <f t="shared" si="18"/>
        <v>0</v>
      </c>
    </row>
    <row r="72" spans="4:11" x14ac:dyDescent="0.25">
      <c r="E72" s="26"/>
      <c r="F72" s="26"/>
      <c r="G72" s="26"/>
      <c r="H72" s="26"/>
      <c r="I72" s="26">
        <f>AVERAGE(J72:J73)*I$25</f>
        <v>0</v>
      </c>
      <c r="J72" s="26">
        <f t="shared" si="17"/>
        <v>0</v>
      </c>
      <c r="K72" s="57">
        <f t="shared" si="18"/>
        <v>0</v>
      </c>
    </row>
    <row r="73" spans="4:11" x14ac:dyDescent="0.25">
      <c r="E73" s="26"/>
      <c r="F73" s="26"/>
      <c r="G73" s="26"/>
      <c r="H73" s="26"/>
      <c r="I73" s="26"/>
      <c r="J73" s="26">
        <f>AVERAGE(K73:K74)*J$25</f>
        <v>0</v>
      </c>
      <c r="K73" s="57">
        <f t="shared" si="18"/>
        <v>0</v>
      </c>
    </row>
    <row r="74" spans="4:11" x14ac:dyDescent="0.25">
      <c r="E74" s="26"/>
      <c r="F74" s="26"/>
      <c r="G74" s="26"/>
      <c r="H74" s="26"/>
      <c r="I74" s="26"/>
      <c r="J74" s="26"/>
      <c r="K74" s="57">
        <f t="shared" si="18"/>
        <v>0</v>
      </c>
    </row>
    <row r="76" spans="4:11" ht="16.5" thickBot="1" x14ac:dyDescent="0.3">
      <c r="D76" s="35" t="s">
        <v>38</v>
      </c>
    </row>
    <row r="77" spans="4:11" ht="16.5" thickBot="1" x14ac:dyDescent="0.3">
      <c r="E77" s="45">
        <v>0</v>
      </c>
      <c r="F77" s="46">
        <v>1</v>
      </c>
      <c r="G77" s="46">
        <v>2</v>
      </c>
      <c r="H77" s="46">
        <v>3</v>
      </c>
      <c r="I77" s="46">
        <v>4</v>
      </c>
      <c r="J77" s="46">
        <v>5</v>
      </c>
      <c r="K77" s="47">
        <v>6</v>
      </c>
    </row>
    <row r="78" spans="4:11" ht="16.5" thickBot="1" x14ac:dyDescent="0.3">
      <c r="E78" s="34">
        <f t="array" ref="E78:K78">nuevostiempos</f>
        <v>0</v>
      </c>
      <c r="F78" s="5">
        <v>0.13608342077649527</v>
      </c>
      <c r="G78" s="5">
        <v>0.21250933184023887</v>
      </c>
      <c r="H78" s="5">
        <v>0.28076990223463688</v>
      </c>
      <c r="I78" s="5">
        <v>0.35595991561181439</v>
      </c>
      <c r="J78" s="5">
        <v>0.42664629446096247</v>
      </c>
      <c r="K78" s="12">
        <v>0.50000000000000011</v>
      </c>
    </row>
    <row r="79" spans="4:11" x14ac:dyDescent="0.25">
      <c r="E79" s="74">
        <f>(F68-F69)/(F50-F51)</f>
        <v>0.48845539562559775</v>
      </c>
      <c r="F79" s="74">
        <f t="shared" ref="F79:J83" si="19">(G68-G69)/(G50-G51)</f>
        <v>0.64319944072223656</v>
      </c>
      <c r="G79" s="74">
        <f t="shared" si="19"/>
        <v>0.80301457917042673</v>
      </c>
      <c r="H79" s="74">
        <f t="shared" si="19"/>
        <v>0.93522393818131377</v>
      </c>
      <c r="I79" s="74">
        <f t="shared" si="19"/>
        <v>1.0000000000000009</v>
      </c>
      <c r="J79" s="74">
        <f t="shared" si="19"/>
        <v>1</v>
      </c>
      <c r="K79" s="74"/>
    </row>
    <row r="80" spans="4:11" x14ac:dyDescent="0.25">
      <c r="E80" s="74"/>
      <c r="F80" s="74">
        <f t="shared" si="19"/>
        <v>0.29741110709681257</v>
      </c>
      <c r="G80" s="74">
        <f t="shared" si="19"/>
        <v>0.44589446913579167</v>
      </c>
      <c r="H80" s="74">
        <f t="shared" si="19"/>
        <v>0.6397912195037716</v>
      </c>
      <c r="I80" s="74">
        <f t="shared" si="19"/>
        <v>0.85525254648013871</v>
      </c>
      <c r="J80" s="74">
        <f t="shared" si="19"/>
        <v>1</v>
      </c>
      <c r="K80" s="74"/>
    </row>
    <row r="81" spans="4:13" x14ac:dyDescent="0.25">
      <c r="E81" s="74"/>
      <c r="F81" s="74"/>
      <c r="G81" s="74">
        <f t="shared" si="19"/>
        <v>0.11409614824729092</v>
      </c>
      <c r="H81" s="74">
        <f t="shared" si="19"/>
        <v>0.20651293623763833</v>
      </c>
      <c r="I81" s="74">
        <f t="shared" si="19"/>
        <v>0.37378643791775479</v>
      </c>
      <c r="J81" s="74">
        <f t="shared" si="19"/>
        <v>0.67654987487306284</v>
      </c>
      <c r="K81" s="74"/>
    </row>
    <row r="82" spans="4:13" x14ac:dyDescent="0.25">
      <c r="E82" s="74"/>
      <c r="F82" s="74"/>
      <c r="G82" s="74"/>
      <c r="H82" s="74">
        <f t="shared" si="19"/>
        <v>0</v>
      </c>
      <c r="I82" s="74">
        <f t="shared" si="19"/>
        <v>0</v>
      </c>
      <c r="J82" s="74">
        <f t="shared" si="19"/>
        <v>0</v>
      </c>
      <c r="K82" s="74"/>
    </row>
    <row r="83" spans="4:13" x14ac:dyDescent="0.25">
      <c r="E83" s="74"/>
      <c r="F83" s="74"/>
      <c r="G83" s="74"/>
      <c r="H83" s="74"/>
      <c r="I83" s="74">
        <f t="shared" si="19"/>
        <v>0</v>
      </c>
      <c r="J83" s="74">
        <f t="shared" si="19"/>
        <v>0</v>
      </c>
      <c r="K83" s="74"/>
    </row>
    <row r="84" spans="4:13" x14ac:dyDescent="0.25">
      <c r="E84" s="74"/>
      <c r="F84" s="74"/>
      <c r="G84" s="74"/>
      <c r="H84" s="74"/>
      <c r="I84" s="74"/>
      <c r="J84" s="74">
        <f>(K73-K74)/(K55-K56)</f>
        <v>0</v>
      </c>
      <c r="K84" s="74"/>
    </row>
    <row r="85" spans="4:13" x14ac:dyDescent="0.25">
      <c r="E85" s="74"/>
      <c r="F85" s="74"/>
      <c r="G85" s="74"/>
      <c r="H85" s="74"/>
      <c r="I85" s="74"/>
      <c r="J85" s="74"/>
      <c r="K85" s="74"/>
    </row>
    <row r="86" spans="4:13" ht="16.5" thickBot="1" x14ac:dyDescent="0.3">
      <c r="D86" s="35" t="s">
        <v>39</v>
      </c>
    </row>
    <row r="87" spans="4:13" ht="16.5" thickBot="1" x14ac:dyDescent="0.3">
      <c r="E87" s="45">
        <v>0</v>
      </c>
      <c r="F87" s="46">
        <v>1</v>
      </c>
      <c r="G87" s="46">
        <v>2</v>
      </c>
      <c r="H87" s="46">
        <v>3</v>
      </c>
      <c r="I87" s="46">
        <v>4</v>
      </c>
      <c r="J87" s="46">
        <v>5</v>
      </c>
      <c r="K87" s="47">
        <v>6</v>
      </c>
    </row>
    <row r="88" spans="4:13" ht="16.5" thickBot="1" x14ac:dyDescent="0.3">
      <c r="E88" s="34">
        <f t="array" ref="E88:K88">nuevostiempos</f>
        <v>0</v>
      </c>
      <c r="F88" s="5">
        <v>0.13608342077649527</v>
      </c>
      <c r="G88" s="5">
        <v>0.21250933184023887</v>
      </c>
      <c r="H88" s="5">
        <v>0.28076990223463688</v>
      </c>
      <c r="I88" s="5">
        <v>0.35595991561181439</v>
      </c>
      <c r="J88" s="5">
        <v>0.42664629446096247</v>
      </c>
      <c r="K88" s="12">
        <v>0.50000000000000011</v>
      </c>
    </row>
    <row r="89" spans="4:13" x14ac:dyDescent="0.25">
      <c r="F89" s="3">
        <f ca="1">IF(RAND()&lt;50%,1,-1)</f>
        <v>1</v>
      </c>
      <c r="G89" s="3">
        <f t="shared" ref="G89:K89" ca="1" si="20">IF(RAND()&lt;50%,1,-1)</f>
        <v>-1</v>
      </c>
      <c r="H89" s="3">
        <f t="shared" ca="1" si="20"/>
        <v>1</v>
      </c>
      <c r="I89" s="3">
        <f t="shared" ca="1" si="20"/>
        <v>1</v>
      </c>
      <c r="J89" s="3">
        <f t="shared" ca="1" si="20"/>
        <v>1</v>
      </c>
      <c r="K89" s="3">
        <f t="shared" ca="1" si="20"/>
        <v>1</v>
      </c>
    </row>
    <row r="90" spans="4:13" x14ac:dyDescent="0.25">
      <c r="F90" s="3">
        <f ca="1">IF(F89=1,0,1)</f>
        <v>0</v>
      </c>
      <c r="G90" s="3">
        <f t="shared" ref="G90:K90" ca="1" si="21">IF(G89=1,0,1)</f>
        <v>1</v>
      </c>
      <c r="H90" s="3">
        <f t="shared" ca="1" si="21"/>
        <v>0</v>
      </c>
      <c r="I90" s="3">
        <f t="shared" ca="1" si="21"/>
        <v>0</v>
      </c>
      <c r="J90" s="3">
        <f t="shared" ca="1" si="21"/>
        <v>0</v>
      </c>
      <c r="K90" s="3">
        <f t="shared" ca="1" si="21"/>
        <v>0</v>
      </c>
    </row>
    <row r="91" spans="4:13" x14ac:dyDescent="0.25">
      <c r="F91" s="3">
        <f ca="1">SUM($F$90:F90)</f>
        <v>0</v>
      </c>
      <c r="G91" s="3">
        <f ca="1">SUM($F$90:G90)</f>
        <v>1</v>
      </c>
      <c r="H91" s="3">
        <f ca="1">SUM($F$90:H90)</f>
        <v>1</v>
      </c>
      <c r="I91" s="3">
        <f ca="1">SUM($F$90:I90)</f>
        <v>1</v>
      </c>
      <c r="J91" s="3">
        <f ca="1">SUM($F$90:J90)</f>
        <v>1</v>
      </c>
      <c r="K91" s="3">
        <f ca="1">SUM($F$90:K90)</f>
        <v>1</v>
      </c>
    </row>
    <row r="92" spans="4:13" x14ac:dyDescent="0.25">
      <c r="D92" s="9" t="s">
        <v>40</v>
      </c>
      <c r="E92" s="58">
        <f>S0</f>
        <v>80</v>
      </c>
      <c r="F92" s="58">
        <f ca="1">OFFSET(F50,F91,0)</f>
        <v>88.49662243681469</v>
      </c>
      <c r="G92" s="58">
        <f t="shared" ref="G92:K92" ca="1" si="22">OFFSET(G50,G91,0)</f>
        <v>79.300080255162598</v>
      </c>
      <c r="H92" s="58">
        <f t="shared" ca="1" si="22"/>
        <v>87.724311592758667</v>
      </c>
      <c r="I92" s="58">
        <f t="shared" ca="1" si="22"/>
        <v>97.033716252888098</v>
      </c>
      <c r="J92" s="58">
        <f t="shared" ca="1" si="22"/>
        <v>107.3587465667935</v>
      </c>
      <c r="K92" s="58">
        <f t="shared" ca="1" si="22"/>
        <v>119.00286012287346</v>
      </c>
      <c r="M92" s="3" t="s">
        <v>49</v>
      </c>
    </row>
    <row r="93" spans="4:13" x14ac:dyDescent="0.25">
      <c r="D93" s="9" t="s">
        <v>41</v>
      </c>
      <c r="E93" s="59">
        <f>E79</f>
        <v>0.48845539562559775</v>
      </c>
      <c r="F93" s="59">
        <f ca="1">OFFSET(F79,F91,0)</f>
        <v>0.64319944072223656</v>
      </c>
      <c r="G93" s="59">
        <f t="shared" ref="G93:J93" ca="1" si="23">OFFSET(G79,G91,0)</f>
        <v>0.44589446913579167</v>
      </c>
      <c r="H93" s="59">
        <f t="shared" ca="1" si="23"/>
        <v>0.6397912195037716</v>
      </c>
      <c r="I93" s="59">
        <f t="shared" ca="1" si="23"/>
        <v>0.85525254648013871</v>
      </c>
      <c r="J93" s="59">
        <f t="shared" ca="1" si="23"/>
        <v>1</v>
      </c>
      <c r="M93" s="60">
        <f ca="1">MAX(callput*(K92-strike),0)</f>
        <v>35.002860122873457</v>
      </c>
    </row>
    <row r="96" spans="4:13" x14ac:dyDescent="0.25">
      <c r="D96" s="35" t="s">
        <v>42</v>
      </c>
    </row>
    <row r="97" spans="4:11" x14ac:dyDescent="0.25">
      <c r="D97" s="9" t="s">
        <v>43</v>
      </c>
      <c r="E97" s="3">
        <f t="shared" ref="E97:J97" si="24">E93</f>
        <v>0.48845539562559775</v>
      </c>
      <c r="F97" s="3">
        <f t="shared" ca="1" si="24"/>
        <v>0.64319944072223656</v>
      </c>
      <c r="G97" s="3">
        <f t="shared" ca="1" si="24"/>
        <v>0.44589446913579167</v>
      </c>
      <c r="H97" s="3">
        <f t="shared" ca="1" si="24"/>
        <v>0.6397912195037716</v>
      </c>
      <c r="I97" s="3">
        <f t="shared" ca="1" si="24"/>
        <v>0.85525254648013871</v>
      </c>
      <c r="J97" s="3">
        <f t="shared" ca="1" si="24"/>
        <v>1</v>
      </c>
    </row>
    <row r="98" spans="4:11" x14ac:dyDescent="0.25">
      <c r="D98" s="9" t="s">
        <v>44</v>
      </c>
      <c r="E98" s="3">
        <f>E99-E97*E92</f>
        <v>-31.971143568364361</v>
      </c>
      <c r="F98" s="3">
        <f ca="1">E98/E25-(F97-E97)*F92</f>
        <v>-45.70104470185931</v>
      </c>
      <c r="G98" s="3">
        <f ca="1">F98/F25-(G97-F97)*G92</f>
        <v>-30.108794218226308</v>
      </c>
      <c r="H98" s="3">
        <f ca="1">G98/G25-(H97-G97)*H92</f>
        <v>-47.152425245270379</v>
      </c>
      <c r="I98" s="3">
        <f ca="1">H98/H25-(I97-H97)*I92</f>
        <v>-68.108210399821672</v>
      </c>
      <c r="J98" s="3">
        <f ca="1">I98/I25-(J97-I97)*J92</f>
        <v>-83.736159135137797</v>
      </c>
    </row>
    <row r="99" spans="4:11" x14ac:dyDescent="0.25">
      <c r="D99" s="9" t="s">
        <v>45</v>
      </c>
      <c r="E99" s="50">
        <f>E68</f>
        <v>7.1052880816834598</v>
      </c>
      <c r="K99" s="60">
        <f ca="1">J97*K92+J98/J25</f>
        <v>35.002860122873415</v>
      </c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16</vt:i4>
      </vt:variant>
    </vt:vector>
  </HeadingPairs>
  <TitlesOfParts>
    <vt:vector size="18" baseType="lpstr">
      <vt:lpstr>Hoja1</vt:lpstr>
      <vt:lpstr>Hoja2</vt:lpstr>
      <vt:lpstr>Hoja2!callput</vt:lpstr>
      <vt:lpstr>callput</vt:lpstr>
      <vt:lpstr>Hoja2!deltat</vt:lpstr>
      <vt:lpstr>deltat</vt:lpstr>
      <vt:lpstr>Hoja2!factorVola</vt:lpstr>
      <vt:lpstr>factorVola</vt:lpstr>
      <vt:lpstr>Hoja2!nuevostiempos</vt:lpstr>
      <vt:lpstr>nuevostiempos</vt:lpstr>
      <vt:lpstr>Hoja2!pasovola</vt:lpstr>
      <vt:lpstr>pasovola</vt:lpstr>
      <vt:lpstr>Hoja2!S0</vt:lpstr>
      <vt:lpstr>S0</vt:lpstr>
      <vt:lpstr>Hoja2!strike</vt:lpstr>
      <vt:lpstr>strike</vt:lpstr>
      <vt:lpstr>Hoja2!T</vt:lpstr>
      <vt:lpstr>T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Maria Contreras</dc:creator>
  <cp:lastModifiedBy>José María Contreras Beltrán</cp:lastModifiedBy>
  <dcterms:created xsi:type="dcterms:W3CDTF">2011-02-25T13:16:36Z</dcterms:created>
  <dcterms:modified xsi:type="dcterms:W3CDTF">2025-09-14T18:50:37Z</dcterms:modified>
</cp:coreProperties>
</file>