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Consultoria\FORMACION\MASTERS CUANTITATIVOS\MEFC 2025\Valoración\Chema\Sesión III\Ejercicios\"/>
    </mc:Choice>
  </mc:AlternateContent>
  <xr:revisionPtr revIDLastSave="0" documentId="13_ncr:1_{DCB4F7E3-4C2C-4021-BF90-F76C6DCEA6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</sheets>
  <definedNames>
    <definedName name="deltat" localSheetId="1">Sheet2!$B$7</definedName>
    <definedName name="deltat">Sheet1!$B$7</definedName>
    <definedName name="Nom" localSheetId="1">Sheet2!$AA$27</definedName>
    <definedName name="Nom">Sheet1!$AA$27</definedName>
    <definedName name="solver_adj" localSheetId="0" hidden="1">Sheet1!$C$10:$G$10</definedName>
    <definedName name="solver_adj" localSheetId="1" hidden="1">Sheet2!$AG$65:$AG$66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1000</definedName>
    <definedName name="solver_itr" localSheetId="1" hidden="1">1000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2</definedName>
    <definedName name="solver_neg" localSheetId="1" hidden="1">2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Sheet1!$T$16</definedName>
    <definedName name="solver_opt" localSheetId="1" hidden="1">Sheet2!$AK$69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1</definedName>
    <definedName name="solver_rlx" localSheetId="1" hidden="1">1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1000</definedName>
    <definedName name="solver_tim" localSheetId="1" hidden="1">1000</definedName>
    <definedName name="solver_tol" localSheetId="0" hidden="1">5</definedName>
    <definedName name="solver_tol" localSheetId="1" hidden="1">0.05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rike" localSheetId="1">Sheet2!$Y$27</definedName>
    <definedName name="strike">Sheet1!$Y$27</definedName>
    <definedName name="vola" localSheetId="1">Sheet2!$C$7</definedName>
    <definedName name="vola">Sheet1!$C$7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2" i="2" l="1"/>
  <c r="AH61" i="2"/>
  <c r="L61" i="2"/>
  <c r="Q11" i="2" s="1"/>
  <c r="D35" i="2"/>
  <c r="C35" i="2"/>
  <c r="D26" i="2"/>
  <c r="M53" i="2" s="1"/>
  <c r="C26" i="2"/>
  <c r="M15" i="2"/>
  <c r="M14" i="2"/>
  <c r="E14" i="2"/>
  <c r="E27" i="2" s="1"/>
  <c r="D14" i="2"/>
  <c r="D13" i="2"/>
  <c r="E13" i="2" s="1"/>
  <c r="M12" i="2"/>
  <c r="M11" i="2"/>
  <c r="M10" i="2"/>
  <c r="B7" i="2"/>
  <c r="AH62" i="1"/>
  <c r="AH61" i="1"/>
  <c r="F14" i="2" l="1"/>
  <c r="F13" i="2"/>
  <c r="E26" i="2"/>
  <c r="D27" i="2"/>
  <c r="E15" i="2"/>
  <c r="E36" i="2"/>
  <c r="N46" i="2"/>
  <c r="T11" i="2"/>
  <c r="R11" i="2"/>
  <c r="F15" i="2"/>
  <c r="M13" i="2"/>
  <c r="B7" i="1"/>
  <c r="E28" i="2" l="1"/>
  <c r="F16" i="2"/>
  <c r="F28" i="2"/>
  <c r="G16" i="2"/>
  <c r="G29" i="2" s="1"/>
  <c r="D36" i="2"/>
  <c r="M54" i="2"/>
  <c r="L53" i="2" s="1"/>
  <c r="Q12" i="2" s="1"/>
  <c r="N45" i="2"/>
  <c r="M45" i="2" s="1"/>
  <c r="E35" i="2"/>
  <c r="G14" i="2"/>
  <c r="G27" i="2" s="1"/>
  <c r="F26" i="2"/>
  <c r="G13" i="2"/>
  <c r="G26" i="2" s="1"/>
  <c r="G15" i="2"/>
  <c r="G28" i="2" s="1"/>
  <c r="F27" i="2"/>
  <c r="M15" i="1"/>
  <c r="M12" i="1"/>
  <c r="M13" i="1"/>
  <c r="M10" i="1"/>
  <c r="M14" i="1"/>
  <c r="M11" i="1"/>
  <c r="F36" i="2" l="1"/>
  <c r="O37" i="2"/>
  <c r="O28" i="2"/>
  <c r="F37" i="2"/>
  <c r="O38" i="2"/>
  <c r="F29" i="2"/>
  <c r="G17" i="2"/>
  <c r="G30" i="2" s="1"/>
  <c r="T12" i="2"/>
  <c r="R12" i="2"/>
  <c r="G35" i="2"/>
  <c r="P26" i="2"/>
  <c r="AK61" i="2" s="1"/>
  <c r="AG68" i="2" s="1"/>
  <c r="F35" i="2"/>
  <c r="O36" i="2"/>
  <c r="N47" i="2"/>
  <c r="M46" i="2" s="1"/>
  <c r="E37" i="2"/>
  <c r="P28" i="2"/>
  <c r="G37" i="2"/>
  <c r="P27" i="2"/>
  <c r="AK62" i="2" s="1"/>
  <c r="AG69" i="2" s="1"/>
  <c r="G36" i="2"/>
  <c r="P29" i="2"/>
  <c r="G38" i="2"/>
  <c r="L45" i="2"/>
  <c r="Q13" i="2" s="1"/>
  <c r="O39" i="2" l="1"/>
  <c r="N38" i="2" s="1"/>
  <c r="F38" i="2"/>
  <c r="G39" i="2"/>
  <c r="P30" i="2"/>
  <c r="O29" i="2" s="1"/>
  <c r="N28" i="2" s="1"/>
  <c r="T13" i="2"/>
  <c r="R13" i="2"/>
  <c r="X33" i="2" a="1"/>
  <c r="AG61" i="2"/>
  <c r="N36" i="2"/>
  <c r="N37" i="2"/>
  <c r="M37" i="2" s="1"/>
  <c r="O26" i="2"/>
  <c r="O27" i="2"/>
  <c r="N27" i="2" s="1"/>
  <c r="X33" i="2" l="1"/>
  <c r="X37" i="2"/>
  <c r="X36" i="2"/>
  <c r="X35" i="2"/>
  <c r="X34" i="2"/>
  <c r="M36" i="2"/>
  <c r="L36" i="2" s="1"/>
  <c r="Q14" i="2" s="1"/>
  <c r="M27" i="2"/>
  <c r="AJ61" i="2"/>
  <c r="AG72" i="2" s="1"/>
  <c r="N26" i="2"/>
  <c r="M26" i="2" s="1"/>
  <c r="L26" i="2" s="1"/>
  <c r="Q15" i="2" s="1"/>
  <c r="T15" i="2" l="1"/>
  <c r="R15" i="2"/>
  <c r="AA36" i="2"/>
  <c r="AB36" i="2" s="1"/>
  <c r="Y36" i="2"/>
  <c r="Z36" i="2" s="1"/>
  <c r="AA37" i="2"/>
  <c r="AB37" i="2" s="1"/>
  <c r="Y37" i="2"/>
  <c r="Z37" i="2" s="1"/>
  <c r="AA33" i="2"/>
  <c r="Y33" i="2"/>
  <c r="R14" i="2"/>
  <c r="T14" i="2"/>
  <c r="AD51" i="2"/>
  <c r="AA34" i="2"/>
  <c r="AB34" i="2" s="1"/>
  <c r="Y34" i="2"/>
  <c r="Z34" i="2" s="1"/>
  <c r="Y35" i="2"/>
  <c r="Z35" i="2" s="1"/>
  <c r="AA35" i="2"/>
  <c r="AB35" i="2" s="1"/>
  <c r="AK61" i="1"/>
  <c r="AG68" i="1" s="1"/>
  <c r="AB33" i="2" l="1"/>
  <c r="AB65" i="2" s="1" a="1"/>
  <c r="AB57" i="2" a="1"/>
  <c r="AB41" i="2" a="1"/>
  <c r="Z33" i="2"/>
  <c r="AB49" i="2" s="1" a="1"/>
  <c r="T16" i="2"/>
  <c r="AG61" i="1"/>
  <c r="AK62" i="1"/>
  <c r="AG69" i="1" s="1"/>
  <c r="AB50" i="2" l="1"/>
  <c r="AB53" i="2"/>
  <c r="AB52" i="2"/>
  <c r="AA52" i="2" s="1"/>
  <c r="AB49" i="2"/>
  <c r="AB51" i="2"/>
  <c r="AA51" i="2" s="1"/>
  <c r="Z51" i="2" s="1"/>
  <c r="AB45" i="2"/>
  <c r="AB41" i="2"/>
  <c r="AB44" i="2"/>
  <c r="AA44" i="2" s="1"/>
  <c r="AB42" i="2"/>
  <c r="AB43" i="2"/>
  <c r="AA43" i="2" s="1"/>
  <c r="Z43" i="2" s="1"/>
  <c r="AB61" i="2"/>
  <c r="AB60" i="2"/>
  <c r="AA60" i="2" s="1"/>
  <c r="AB59" i="2"/>
  <c r="AA59" i="2" s="1"/>
  <c r="Z59" i="2" s="1"/>
  <c r="AB58" i="2"/>
  <c r="AA58" i="2" s="1"/>
  <c r="Z58" i="2" s="1"/>
  <c r="Y58" i="2" s="1"/>
  <c r="AB57" i="2"/>
  <c r="AA57" i="2" s="1"/>
  <c r="Z57" i="2" s="1"/>
  <c r="Y57" i="2" s="1"/>
  <c r="X57" i="2" s="1"/>
  <c r="AB65" i="2"/>
  <c r="AA65" i="2" s="1"/>
  <c r="Z65" i="2" s="1"/>
  <c r="Y65" i="2" s="1"/>
  <c r="X65" i="2" s="1"/>
  <c r="AB69" i="2"/>
  <c r="AB68" i="2"/>
  <c r="AA68" i="2" s="1"/>
  <c r="AB67" i="2"/>
  <c r="AA67" i="2" s="1"/>
  <c r="Z67" i="2" s="1"/>
  <c r="AB66" i="2"/>
  <c r="AA66" i="2" s="1"/>
  <c r="Z66" i="2" s="1"/>
  <c r="Y66" i="2" s="1"/>
  <c r="AJ61" i="1"/>
  <c r="AG72" i="1" s="1"/>
  <c r="AA41" i="2" l="1"/>
  <c r="AA42" i="2"/>
  <c r="Z42" i="2" s="1"/>
  <c r="Y42" i="2" s="1"/>
  <c r="AE61" i="2"/>
  <c r="AJ68" i="2" s="1"/>
  <c r="AA49" i="2"/>
  <c r="AE62" i="2"/>
  <c r="AJ69" i="2" s="1"/>
  <c r="AA50" i="2"/>
  <c r="Z50" i="2" s="1"/>
  <c r="Y50" i="2" s="1"/>
  <c r="AD51" i="1" l="1"/>
  <c r="AK69" i="2"/>
  <c r="Z49" i="2"/>
  <c r="Y49" i="2" s="1"/>
  <c r="X49" i="2" s="1"/>
  <c r="AD49" i="2" s="1"/>
  <c r="Z41" i="2"/>
  <c r="Y41" i="2" s="1"/>
  <c r="X41" i="2" s="1"/>
  <c r="AB57" i="1" a="1"/>
  <c r="AB41" i="1" a="1"/>
  <c r="AB65" i="1" l="1" a="1"/>
  <c r="AB49" i="1" a="1"/>
  <c r="AB61" i="1"/>
  <c r="AB60" i="1"/>
  <c r="AB58" i="1"/>
  <c r="AB59" i="1"/>
  <c r="AB57" i="1"/>
  <c r="AB45" i="1"/>
  <c r="AB42" i="1"/>
  <c r="AB41" i="1"/>
  <c r="AB44" i="1"/>
  <c r="AB43" i="1"/>
  <c r="AA59" i="1" l="1"/>
  <c r="AA41" i="1"/>
  <c r="AA43" i="1"/>
  <c r="AA60" i="1"/>
  <c r="Z59" i="1" s="1"/>
  <c r="AB50" i="1"/>
  <c r="AB52" i="1"/>
  <c r="AB51" i="1"/>
  <c r="AB53" i="1"/>
  <c r="AA42" i="1"/>
  <c r="Z42" i="1" s="1"/>
  <c r="AA58" i="1"/>
  <c r="Z58" i="1" s="1"/>
  <c r="AB49" i="1"/>
  <c r="AB66" i="1"/>
  <c r="AB67" i="1"/>
  <c r="AB68" i="1"/>
  <c r="AB69" i="1"/>
  <c r="AA44" i="1"/>
  <c r="AA57" i="1"/>
  <c r="AB65" i="1"/>
  <c r="Z43" i="1" l="1"/>
  <c r="Z57" i="1"/>
  <c r="AA65" i="1"/>
  <c r="Y57" i="1"/>
  <c r="AA51" i="1"/>
  <c r="Y58" i="1"/>
  <c r="AA52" i="1"/>
  <c r="Z51" i="1" s="1"/>
  <c r="AA68" i="1"/>
  <c r="Y42" i="1"/>
  <c r="AA50" i="1"/>
  <c r="Z50" i="1" s="1"/>
  <c r="AE62" i="1"/>
  <c r="AJ69" i="1" s="1"/>
  <c r="AE61" i="1"/>
  <c r="AJ68" i="1" s="1"/>
  <c r="AA49" i="1"/>
  <c r="AA67" i="1"/>
  <c r="Z67" i="1" s="1"/>
  <c r="AA66" i="1"/>
  <c r="Z41" i="1"/>
  <c r="Y41" i="1" s="1"/>
  <c r="X57" i="1" l="1"/>
  <c r="X41" i="1"/>
  <c r="Z49" i="1"/>
  <c r="Y49" i="1" s="1"/>
  <c r="Y50" i="1"/>
  <c r="AK69" i="1"/>
  <c r="Z66" i="1"/>
  <c r="Z65" i="1"/>
  <c r="X49" i="1" l="1"/>
  <c r="AD49" i="1" s="1"/>
  <c r="Y65" i="1"/>
  <c r="Y66" i="1"/>
  <c r="X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</author>
    <author>Euclides</author>
  </authors>
  <commentList>
    <comment ref="C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jcontreras: dato básico del modelo</t>
        </r>
      </text>
    </comment>
    <comment ref="G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solver fijará estos valores (que son ajustes de convexidad)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jcontreras: solver fija los valores de la función U (para cada dato de volatilidad) de manera que los descuentos del modelo coincidan con los de mercado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jcontreras: el strike elegido es el que hace que el FRA valga hoy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es un pago de tiempo 5*deltat, que descontamos para hacerlo de tiempo 4*deltat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jcontreras: este precio depende del valor de la volatilidad (!!)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jcontreras: este precio no depende del dato de volatilidad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jcontreras: el precio del caplet (y el de la versión in arrears) depende de la volatilidad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65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calculados con solver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72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compara con el valor de AA47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</author>
    <author>Euclides</author>
  </authors>
  <commentList>
    <comment ref="C7" authorId="0" shapeId="0" xr:uid="{032C0900-ACAB-46BC-AE5E-B65504E5F95D}">
      <text>
        <r>
          <rPr>
            <b/>
            <sz val="9"/>
            <color indexed="81"/>
            <rFont val="Tahoma"/>
            <family val="2"/>
          </rPr>
          <t>jcontreras: dato básico del modelo</t>
        </r>
      </text>
    </comment>
    <comment ref="G10" authorId="0" shapeId="0" xr:uid="{0D63B27F-AADC-4612-BAD6-EC98C81349D8}">
      <text>
        <r>
          <rPr>
            <b/>
            <sz val="9"/>
            <color indexed="81"/>
            <rFont val="Tahoma"/>
            <family val="2"/>
          </rPr>
          <t>solver fijará estos valores (que son ajustes de convexidad)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6" authorId="0" shapeId="0" xr:uid="{990CFBAB-7C9A-4316-A695-C7CBBFE8120C}">
      <text>
        <r>
          <rPr>
            <b/>
            <sz val="9"/>
            <color indexed="81"/>
            <rFont val="Tahoma"/>
            <family val="2"/>
          </rPr>
          <t>jcontreras: solver fija los valores de la función U (para cada dato de volatilidad) de manera que los descuentos del modelo coincidan con los de mercado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7" authorId="0" shapeId="0" xr:uid="{1D50A733-5E79-49D1-B5A2-D57F6DC3D85A}">
      <text>
        <r>
          <rPr>
            <b/>
            <sz val="9"/>
            <color indexed="81"/>
            <rFont val="Tahoma"/>
            <family val="2"/>
          </rPr>
          <t>jcontreras: el strike elegido es el que hace que el FRA valga hoy 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3" authorId="1" shapeId="0" xr:uid="{3CFB69F1-7C48-456F-B2E4-DD6B7477E120}">
      <text>
        <r>
          <rPr>
            <b/>
            <sz val="9"/>
            <color indexed="81"/>
            <rFont val="Tahoma"/>
            <family val="2"/>
          </rPr>
          <t>es un pago de tiempo 5*deltat, que descontamos para hacerlo de tiempo 4*deltat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1" authorId="0" shapeId="0" xr:uid="{5142B47E-FD23-4803-9D83-CF12DC2BB7C1}">
      <text>
        <r>
          <rPr>
            <b/>
            <sz val="9"/>
            <color indexed="81"/>
            <rFont val="Tahoma"/>
            <family val="2"/>
          </rPr>
          <t>jcontreras: este precio depende del valor de la volatilidad (!!)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49" authorId="0" shapeId="0" xr:uid="{3E1746CB-C0DF-4D26-B8E4-749942E7611E}">
      <text>
        <r>
          <rPr>
            <b/>
            <sz val="9"/>
            <color indexed="81"/>
            <rFont val="Tahoma"/>
            <family val="2"/>
          </rPr>
          <t>jcontreras: este precio no depende del dato de volatilidad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5" authorId="0" shapeId="0" xr:uid="{FF5736A4-2BC3-473C-9AE6-33FB3A19868A}">
      <text>
        <r>
          <rPr>
            <b/>
            <sz val="9"/>
            <color indexed="81"/>
            <rFont val="Tahoma"/>
            <family val="2"/>
          </rPr>
          <t xml:space="preserve">jcontreras: el precio del caplet (y el de la versión in arrears) depende de la volatilidad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65" authorId="1" shapeId="0" xr:uid="{43AE7DF7-6074-4DE7-BCB2-A8DC1465FE07}">
      <text>
        <r>
          <rPr>
            <b/>
            <sz val="9"/>
            <color indexed="81"/>
            <rFont val="Tahoma"/>
            <family val="2"/>
          </rPr>
          <t>calculados con solver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72" authorId="1" shapeId="0" xr:uid="{C445CFDE-E6D1-470B-90D0-830835F08A94}">
      <text>
        <r>
          <rPr>
            <b/>
            <sz val="9"/>
            <color indexed="81"/>
            <rFont val="Tahoma"/>
            <family val="2"/>
          </rPr>
          <t>compara con el valor de AA47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<sst xmlns="http://schemas.openxmlformats.org/spreadsheetml/2006/main" count="107" uniqueCount="53">
  <si>
    <t>delta</t>
  </si>
  <si>
    <t>desc</t>
  </si>
  <si>
    <t>tipos</t>
  </si>
  <si>
    <t>descuentos de mercado</t>
  </si>
  <si>
    <t>Bono de vencimiento 4*deltat</t>
  </si>
  <si>
    <t>Bono de vencimiento 3*deltat</t>
  </si>
  <si>
    <t>Bono de vencimiento 2*deltat</t>
  </si>
  <si>
    <t>Bono de vencimiento 1*deltat</t>
  </si>
  <si>
    <t>Calibración del modelo a la CCC</t>
  </si>
  <si>
    <t>CCC del modelo</t>
  </si>
  <si>
    <t>tiempo</t>
  </si>
  <si>
    <t>instante</t>
  </si>
  <si>
    <t xml:space="preserve"> función U</t>
  </si>
  <si>
    <t>árbol de ruidos</t>
  </si>
  <si>
    <t>volatilidad</t>
  </si>
  <si>
    <t>Para el ajuste Black-Derman-Toy con vola constante</t>
  </si>
  <si>
    <t>tipos (continuos, plazo deltat)</t>
  </si>
  <si>
    <t>tipos (simples, plazo deltat)</t>
  </si>
  <si>
    <t>Bono de vencimiento 5*deltat</t>
  </si>
  <si>
    <t>errores</t>
  </si>
  <si>
    <t>Uso del modelo para valoración de instrumentos</t>
  </si>
  <si>
    <t>Vamos a valorar un FRA (in advance/in arrears) y un caplet (in advance/in arrears)</t>
  </si>
  <si>
    <t>El strike común es</t>
  </si>
  <si>
    <t>Todos pagan en función del tipo simple que se fije en tiempo 4*deltat</t>
  </si>
  <si>
    <t>K</t>
  </si>
  <si>
    <t>tipos simples</t>
  </si>
  <si>
    <t>FRA in arrears</t>
  </si>
  <si>
    <t>FRA</t>
  </si>
  <si>
    <t>caplet in arrears</t>
  </si>
  <si>
    <t>caplet</t>
  </si>
  <si>
    <t>El nominal común es</t>
  </si>
  <si>
    <t>Nom</t>
  </si>
  <si>
    <t>Árbol de valoración del FRA</t>
  </si>
  <si>
    <t>Árbol de valoración del FRA in arrears</t>
  </si>
  <si>
    <t>Árbol de valoración del caplet in arrears</t>
  </si>
  <si>
    <t>Árbol de valoración del caplet</t>
  </si>
  <si>
    <t>Exhibimos los flujos de los cuatro instrumentos (escritos como flujos de tiempo 4*deltat)</t>
  </si>
  <si>
    <t>un solver para calcular el strike de equilibrio del FRA</t>
  </si>
  <si>
    <t>ese tipo de equlibrio debería ser (el tipo fwd)</t>
  </si>
  <si>
    <t>valores del FRA</t>
  </si>
  <si>
    <t>valores del bono 4</t>
  </si>
  <si>
    <t>alpha</t>
  </si>
  <si>
    <t>unidades del bono 4</t>
  </si>
  <si>
    <t>beta</t>
  </si>
  <si>
    <t>flujos cartera de réplica</t>
  </si>
  <si>
    <t>Coste de la cartera de réplica</t>
  </si>
  <si>
    <t>Lo hacemos solo en el nodo superior de tiempo 4</t>
  </si>
  <si>
    <t>En la cartera de réplica solo intervendrán el bono 4 y el bono 5 (los instrumentos "vivos" en tiempo 4)</t>
  </si>
  <si>
    <t>Instrumentos de mercado (bonos cupón cero de nominal 1)</t>
  </si>
  <si>
    <t>valores del bono 5</t>
  </si>
  <si>
    <t>unidades del bono 5</t>
  </si>
  <si>
    <t>Cálculo de la cartera de réplica para el FRA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</si>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</sst>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0.000%"/>
    <numFmt numFmtId="165" formatCode="0.0000%"/>
    <numFmt numFmtId="166" formatCode="0.00000%"/>
    <numFmt numFmtId="167" formatCode="0.0000000%"/>
    <numFmt numFmtId="168" formatCode="#,##0.00\ &quot;€&quot;"/>
    <numFmt numFmtId="169" formatCode="_-* #,##0.0000\ &quot;€&quot;_-;\-* #,##0.0000\ &quot;€&quot;_-;_-* &quot;-&quot;??\ &quot;€&quot;_-;_-@_-"/>
    <numFmt numFmtId="170" formatCode="_-* #,##0.00000\ &quot;€&quot;_-;\-* #,##0.00000\ &quot;€&quot;_-;_-* &quot;-&quot;??\ &quot;€&quot;_-;_-@_-"/>
    <numFmt numFmtId="171" formatCode="_-* #,##0.000000\ &quot;€&quot;_-;\-* #,##0.000000\ &quot;€&quot;_-;_-* &quot;-&quot;??\ &quot;€&quot;_-;_-@_-"/>
  </numFmts>
  <fonts count="11" x14ac:knownFonts="1">
    <font>
      <sz val="12"/>
      <name val="Arial"/>
    </font>
    <font>
      <sz val="12"/>
      <name val="Arial"/>
      <family val="2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7" fontId="2" fillId="0" borderId="0" xfId="1" applyNumberFormat="1" applyFont="1"/>
    <xf numFmtId="0" fontId="4" fillId="2" borderId="0" xfId="0" applyFont="1" applyFill="1" applyAlignment="1">
      <alignment horizontal="center"/>
    </xf>
    <xf numFmtId="10" fontId="2" fillId="0" borderId="0" xfId="0" applyNumberFormat="1" applyFont="1"/>
    <xf numFmtId="165" fontId="2" fillId="0" borderId="0" xfId="1" applyNumberFormat="1" applyFont="1"/>
    <xf numFmtId="0" fontId="3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9" fontId="3" fillId="0" borderId="0" xfId="0" applyNumberFormat="1" applyFont="1" applyAlignment="1">
      <alignment horizontal="center"/>
    </xf>
    <xf numFmtId="0" fontId="6" fillId="0" borderId="0" xfId="0" applyFont="1"/>
    <xf numFmtId="0" fontId="3" fillId="0" borderId="0" xfId="0" applyFont="1"/>
    <xf numFmtId="10" fontId="2" fillId="0" borderId="0" xfId="1" applyNumberFormat="1" applyFont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2" fillId="0" borderId="0" xfId="0" applyNumberFormat="1" applyFont="1"/>
    <xf numFmtId="165" fontId="2" fillId="0" borderId="0" xfId="1" applyNumberFormat="1" applyFont="1" applyFill="1" applyBorder="1"/>
    <xf numFmtId="167" fontId="2" fillId="0" borderId="0" xfId="0" applyNumberFormat="1" applyFont="1"/>
    <xf numFmtId="10" fontId="2" fillId="0" borderId="0" xfId="1" applyNumberFormat="1" applyFont="1" applyFill="1" applyBorder="1"/>
    <xf numFmtId="0" fontId="2" fillId="0" borderId="0" xfId="0" applyFont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7" fontId="2" fillId="0" borderId="0" xfId="1" applyNumberFormat="1" applyFont="1" applyFill="1" applyBorder="1"/>
    <xf numFmtId="166" fontId="2" fillId="0" borderId="0" xfId="1" applyNumberFormat="1" applyFont="1" applyFill="1" applyBorder="1"/>
    <xf numFmtId="0" fontId="2" fillId="10" borderId="0" xfId="0" applyFont="1" applyFill="1"/>
    <xf numFmtId="10" fontId="2" fillId="0" borderId="0" xfId="1" applyNumberFormat="1" applyFont="1" applyFill="1"/>
    <xf numFmtId="10" fontId="2" fillId="10" borderId="0" xfId="1" applyNumberFormat="1" applyFont="1" applyFill="1"/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0" fontId="2" fillId="7" borderId="1" xfId="1" applyNumberFormat="1" applyFont="1" applyFill="1" applyBorder="1" applyAlignment="1">
      <alignment horizontal="center"/>
    </xf>
    <xf numFmtId="10" fontId="2" fillId="7" borderId="4" xfId="1" applyNumberFormat="1" applyFont="1" applyFill="1" applyBorder="1" applyAlignment="1">
      <alignment horizontal="center"/>
    </xf>
    <xf numFmtId="10" fontId="2" fillId="7" borderId="2" xfId="1" applyNumberFormat="1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167" fontId="2" fillId="11" borderId="7" xfId="1" applyNumberFormat="1" applyFont="1" applyFill="1" applyBorder="1" applyAlignment="1">
      <alignment horizontal="center"/>
    </xf>
    <xf numFmtId="10" fontId="2" fillId="0" borderId="0" xfId="1" applyNumberFormat="1" applyFont="1"/>
    <xf numFmtId="165" fontId="2" fillId="0" borderId="0" xfId="1" applyNumberFormat="1" applyFont="1" applyFill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8" fontId="2" fillId="11" borderId="7" xfId="1" applyNumberFormat="1" applyFont="1" applyFill="1" applyBorder="1" applyAlignment="1">
      <alignment horizontal="center"/>
    </xf>
    <xf numFmtId="169" fontId="2" fillId="0" borderId="11" xfId="2" applyNumberFormat="1" applyFont="1" applyFill="1" applyBorder="1" applyAlignment="1">
      <alignment horizontal="center"/>
    </xf>
    <xf numFmtId="169" fontId="2" fillId="0" borderId="12" xfId="2" applyNumberFormat="1" applyFont="1" applyFill="1" applyBorder="1" applyAlignment="1">
      <alignment horizontal="center"/>
    </xf>
    <xf numFmtId="169" fontId="2" fillId="0" borderId="0" xfId="2" applyNumberFormat="1" applyFont="1" applyFill="1" applyBorder="1" applyAlignment="1">
      <alignment horizontal="center"/>
    </xf>
    <xf numFmtId="169" fontId="2" fillId="0" borderId="13" xfId="2" applyNumberFormat="1" applyFont="1" applyFill="1" applyBorder="1" applyAlignment="1">
      <alignment horizontal="center"/>
    </xf>
    <xf numFmtId="169" fontId="2" fillId="0" borderId="15" xfId="2" applyNumberFormat="1" applyFont="1" applyFill="1" applyBorder="1" applyAlignment="1">
      <alignment horizontal="center"/>
    </xf>
    <xf numFmtId="169" fontId="2" fillId="0" borderId="14" xfId="2" applyNumberFormat="1" applyFont="1" applyFill="1" applyBorder="1" applyAlignment="1">
      <alignment horizontal="center"/>
    </xf>
    <xf numFmtId="165" fontId="2" fillId="12" borderId="1" xfId="1" applyNumberFormat="1" applyFont="1" applyFill="1" applyBorder="1" applyAlignment="1">
      <alignment horizontal="center"/>
    </xf>
    <xf numFmtId="165" fontId="2" fillId="12" borderId="4" xfId="1" applyNumberFormat="1" applyFont="1" applyFill="1" applyBorder="1" applyAlignment="1">
      <alignment horizontal="center"/>
    </xf>
    <xf numFmtId="165" fontId="2" fillId="12" borderId="2" xfId="1" applyNumberFormat="1" applyFont="1" applyFill="1" applyBorder="1" applyAlignment="1">
      <alignment horizontal="center"/>
    </xf>
    <xf numFmtId="169" fontId="2" fillId="6" borderId="0" xfId="2" applyNumberFormat="1" applyFont="1" applyFill="1"/>
    <xf numFmtId="169" fontId="2" fillId="7" borderId="0" xfId="2" applyNumberFormat="1" applyFont="1" applyFill="1" applyAlignment="1">
      <alignment horizontal="center"/>
    </xf>
    <xf numFmtId="170" fontId="2" fillId="6" borderId="0" xfId="2" applyNumberFormat="1" applyFont="1" applyFill="1"/>
    <xf numFmtId="170" fontId="2" fillId="7" borderId="0" xfId="2" applyNumberFormat="1" applyFont="1" applyFill="1" applyAlignment="1">
      <alignment horizontal="center"/>
    </xf>
    <xf numFmtId="169" fontId="2" fillId="7" borderId="0" xfId="2" applyNumberFormat="1" applyFont="1" applyFill="1"/>
    <xf numFmtId="2" fontId="2" fillId="0" borderId="0" xfId="0" applyNumberFormat="1" applyFont="1"/>
    <xf numFmtId="165" fontId="2" fillId="0" borderId="3" xfId="0" applyNumberFormat="1" applyFont="1" applyBorder="1"/>
    <xf numFmtId="0" fontId="2" fillId="9" borderId="1" xfId="0" applyFont="1" applyFill="1" applyBorder="1"/>
    <xf numFmtId="0" fontId="2" fillId="9" borderId="2" xfId="0" applyFont="1" applyFill="1" applyBorder="1"/>
    <xf numFmtId="169" fontId="2" fillId="0" borderId="1" xfId="2" applyNumberFormat="1" applyFont="1" applyBorder="1"/>
    <xf numFmtId="169" fontId="2" fillId="0" borderId="0" xfId="2" applyNumberFormat="1" applyFont="1"/>
    <xf numFmtId="170" fontId="2" fillId="7" borderId="0" xfId="2" applyNumberFormat="1" applyFont="1" applyFill="1"/>
    <xf numFmtId="170" fontId="2" fillId="0" borderId="0" xfId="2" applyNumberFormat="1" applyFont="1"/>
    <xf numFmtId="171" fontId="2" fillId="7" borderId="0" xfId="2" applyNumberFormat="1" applyFont="1" applyFill="1"/>
    <xf numFmtId="171" fontId="2" fillId="7" borderId="0" xfId="2" applyNumberFormat="1" applyFont="1" applyFill="1" applyAlignment="1">
      <alignment horizontal="center"/>
    </xf>
    <xf numFmtId="171" fontId="2" fillId="0" borderId="0" xfId="2" applyNumberFormat="1" applyFont="1"/>
    <xf numFmtId="169" fontId="2" fillId="0" borderId="3" xfId="2" applyNumberFormat="1" applyFont="1" applyBorder="1"/>
    <xf numFmtId="170" fontId="2" fillId="13" borderId="3" xfId="2" applyNumberFormat="1" applyFont="1" applyFill="1" applyBorder="1"/>
    <xf numFmtId="164" fontId="2" fillId="7" borderId="1" xfId="1" applyNumberFormat="1" applyFont="1" applyFill="1" applyBorder="1" applyAlignment="1">
      <alignment horizontal="center"/>
    </xf>
    <xf numFmtId="164" fontId="2" fillId="7" borderId="4" xfId="1" applyNumberFormat="1" applyFont="1" applyFill="1" applyBorder="1" applyAlignment="1">
      <alignment horizontal="center"/>
    </xf>
    <xf numFmtId="164" fontId="2" fillId="7" borderId="2" xfId="1" applyNumberFormat="1" applyFont="1" applyFill="1" applyBorder="1" applyAlignment="1">
      <alignment horizontal="center"/>
    </xf>
    <xf numFmtId="9" fontId="10" fillId="14" borderId="3" xfId="0" applyNumberFormat="1" applyFont="1" applyFill="1" applyBorder="1" applyAlignment="1">
      <alignment horizontal="center"/>
    </xf>
    <xf numFmtId="0" fontId="2" fillId="0" borderId="3" xfId="0" applyFont="1" applyBorder="1"/>
    <xf numFmtId="164" fontId="2" fillId="8" borderId="5" xfId="0" applyNumberFormat="1" applyFont="1" applyFill="1" applyBorder="1" applyAlignment="1">
      <alignment horizontal="center"/>
    </xf>
    <xf numFmtId="164" fontId="2" fillId="8" borderId="6" xfId="0" applyNumberFormat="1" applyFont="1" applyFill="1" applyBorder="1" applyAlignment="1">
      <alignment horizontal="center"/>
    </xf>
    <xf numFmtId="164" fontId="2" fillId="8" borderId="16" xfId="0" applyNumberFormat="1" applyFont="1" applyFill="1" applyBorder="1" applyAlignment="1">
      <alignment horizontal="center"/>
    </xf>
    <xf numFmtId="164" fontId="2" fillId="8" borderId="7" xfId="0" applyNumberFormat="1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1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657225</xdr:colOff>
      <xdr:row>60</xdr:row>
      <xdr:rowOff>114300</xdr:rowOff>
    </xdr:from>
    <xdr:to>
      <xdr:col>31</xdr:col>
      <xdr:colOff>752475</xdr:colOff>
      <xdr:row>71</xdr:row>
      <xdr:rowOff>133350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 flipV="1">
          <a:off x="22945725" y="11839575"/>
          <a:ext cx="2419350" cy="2295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762000</xdr:colOff>
      <xdr:row>20</xdr:row>
      <xdr:rowOff>171508</xdr:rowOff>
    </xdr:from>
    <xdr:to>
      <xdr:col>8</xdr:col>
      <xdr:colOff>200025</xdr:colOff>
      <xdr:row>23</xdr:row>
      <xdr:rowOff>47625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4229158"/>
          <a:ext cx="2552700" cy="47619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657225</xdr:colOff>
      <xdr:row>60</xdr:row>
      <xdr:rowOff>114300</xdr:rowOff>
    </xdr:from>
    <xdr:to>
      <xdr:col>31</xdr:col>
      <xdr:colOff>752475</xdr:colOff>
      <xdr:row>71</xdr:row>
      <xdr:rowOff>133350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C61F94E9-B785-4CB3-86CB-0D43BB644A61}"/>
            </a:ext>
          </a:extLst>
        </xdr:cNvPr>
        <xdr:cNvCxnSpPr/>
      </xdr:nvCxnSpPr>
      <xdr:spPr>
        <a:xfrm flipH="1" flipV="1">
          <a:off x="22945725" y="12249150"/>
          <a:ext cx="2419350" cy="2295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762000</xdr:colOff>
      <xdr:row>20</xdr:row>
      <xdr:rowOff>171508</xdr:rowOff>
    </xdr:from>
    <xdr:to>
      <xdr:col>8</xdr:col>
      <xdr:colOff>200025</xdr:colOff>
      <xdr:row>23</xdr:row>
      <xdr:rowOff>47625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254434AB-D86D-45E3-9664-0C2448D86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4238683"/>
          <a:ext cx="2552700" cy="476192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8"/>
  <sheetViews>
    <sheetView showGridLines="0" tabSelected="1" zoomScale="90" zoomScaleNormal="90" workbookViewId="0"/>
  </sheetViews>
  <sheetFormatPr defaultColWidth="8.88671875" defaultRowHeight="15.75" x14ac:dyDescent="0.25"/>
  <cols>
    <col min="1" max="1" width="6.109375" style="1" customWidth="1"/>
    <col min="2" max="7" width="10.21875" style="1" customWidth="1"/>
    <col min="8" max="8" width="5.6640625" style="1" customWidth="1"/>
    <col min="9" max="9" width="5.77734375" style="1" customWidth="1"/>
    <col min="10" max="10" width="2.44140625" style="1" customWidth="1"/>
    <col min="11" max="11" width="5.77734375" style="1" customWidth="1"/>
    <col min="12" max="12" width="10.6640625" style="1" customWidth="1"/>
    <col min="13" max="13" width="10.33203125" style="1" customWidth="1"/>
    <col min="14" max="17" width="8.88671875" style="1" customWidth="1"/>
    <col min="18" max="18" width="9.33203125" style="1" customWidth="1"/>
    <col min="19" max="21" width="7.77734375" style="1" customWidth="1"/>
    <col min="22" max="22" width="3" style="1" customWidth="1"/>
    <col min="23" max="23" width="10.6640625" style="1" customWidth="1"/>
    <col min="24" max="24" width="12.21875" style="1" customWidth="1"/>
    <col min="25" max="25" width="11.33203125" style="1" customWidth="1"/>
    <col min="26" max="27" width="12.6640625" style="1" customWidth="1"/>
    <col min="28" max="28" width="12.21875" style="1" customWidth="1"/>
    <col min="29" max="29" width="8.88671875" style="1"/>
    <col min="30" max="30" width="17.5546875" style="1" bestFit="1" customWidth="1"/>
    <col min="31" max="31" width="9.5546875" style="1" bestFit="1" customWidth="1"/>
    <col min="32" max="32" width="8.88671875" style="1"/>
    <col min="33" max="33" width="10.6640625" style="1" customWidth="1"/>
    <col min="34" max="34" width="12.5546875" style="1" customWidth="1"/>
    <col min="35" max="36" width="8.88671875" style="1"/>
    <col min="37" max="37" width="9.6640625" style="1" bestFit="1" customWidth="1"/>
    <col min="38" max="16384" width="8.88671875" style="1"/>
  </cols>
  <sheetData>
    <row r="1" spans="2:27 16384:16384" x14ac:dyDescent="0.25">
      <c r="J1" s="27"/>
      <c r="V1" s="27"/>
      <c r="XFD1" s="1" t="s">
        <v>52</v>
      </c>
    </row>
    <row r="2" spans="2:27 16384:16384" x14ac:dyDescent="0.25">
      <c r="J2" s="27"/>
      <c r="V2" s="27"/>
    </row>
    <row r="3" spans="2:27 16384:16384" x14ac:dyDescent="0.25">
      <c r="J3" s="27"/>
      <c r="V3" s="27"/>
    </row>
    <row r="4" spans="2:27 16384:16384" x14ac:dyDescent="0.25">
      <c r="B4" s="13" t="s">
        <v>15</v>
      </c>
      <c r="J4" s="27"/>
      <c r="V4" s="27"/>
    </row>
    <row r="5" spans="2:27 16384:16384" ht="16.5" thickBot="1" x14ac:dyDescent="0.3">
      <c r="J5" s="27"/>
      <c r="L5" s="12" t="s">
        <v>8</v>
      </c>
      <c r="V5" s="27"/>
    </row>
    <row r="6" spans="2:27 16384:16384" ht="16.5" thickBot="1" x14ac:dyDescent="0.3">
      <c r="B6" s="2" t="s">
        <v>0</v>
      </c>
      <c r="C6" s="2" t="s">
        <v>14</v>
      </c>
      <c r="E6" s="8"/>
      <c r="J6" s="27"/>
      <c r="P6" s="88" t="s">
        <v>9</v>
      </c>
      <c r="Q6" s="89"/>
      <c r="R6" s="90"/>
      <c r="V6" s="27"/>
    </row>
    <row r="7" spans="2:27 16384:16384" ht="15.75" customHeight="1" thickBot="1" x14ac:dyDescent="0.3">
      <c r="B7" s="3">
        <f>1/4</f>
        <v>0.25</v>
      </c>
      <c r="C7" s="75"/>
      <c r="E7" s="11"/>
      <c r="J7" s="27"/>
      <c r="L7" s="91" t="s">
        <v>11</v>
      </c>
      <c r="M7" s="91" t="s">
        <v>10</v>
      </c>
      <c r="N7" s="91" t="s">
        <v>3</v>
      </c>
      <c r="V7" s="27"/>
    </row>
    <row r="8" spans="2:27 16384:16384" x14ac:dyDescent="0.25">
      <c r="J8" s="27"/>
      <c r="L8" s="93"/>
      <c r="M8" s="93"/>
      <c r="N8" s="93"/>
      <c r="Q8" s="8" t="s">
        <v>1</v>
      </c>
      <c r="R8" s="8" t="s">
        <v>2</v>
      </c>
      <c r="V8" s="27"/>
    </row>
    <row r="9" spans="2:27 16384:16384" ht="16.5" customHeight="1" thickBot="1" x14ac:dyDescent="0.3">
      <c r="C9" s="5">
        <v>0</v>
      </c>
      <c r="D9" s="5">
        <v>1</v>
      </c>
      <c r="E9" s="5">
        <v>2</v>
      </c>
      <c r="F9" s="5">
        <v>3</v>
      </c>
      <c r="G9" s="5">
        <v>4</v>
      </c>
      <c r="J9" s="27"/>
      <c r="L9" s="93"/>
      <c r="M9" s="93"/>
      <c r="N9" s="93"/>
      <c r="T9" s="1" t="s">
        <v>19</v>
      </c>
      <c r="V9" s="27"/>
      <c r="Z9" s="4"/>
    </row>
    <row r="10" spans="2:27 16384:16384" ht="16.149999999999999" customHeight="1" thickBot="1" x14ac:dyDescent="0.3">
      <c r="B10" s="18" t="s">
        <v>12</v>
      </c>
      <c r="C10" s="77"/>
      <c r="D10" s="78"/>
      <c r="E10" s="79"/>
      <c r="F10" s="78"/>
      <c r="G10" s="80"/>
      <c r="J10" s="27"/>
      <c r="L10" s="31">
        <v>0</v>
      </c>
      <c r="M10" s="31">
        <f t="shared" ref="M10:M15" si="0">L10*deltat</f>
        <v>0</v>
      </c>
      <c r="N10" s="15">
        <v>1</v>
      </c>
      <c r="P10" s="31">
        <v>0</v>
      </c>
      <c r="Q10" s="72"/>
      <c r="R10" s="34"/>
      <c r="S10" s="30"/>
      <c r="T10" s="30"/>
      <c r="U10" s="30"/>
      <c r="V10" s="27"/>
    </row>
    <row r="11" spans="2:27 16384:16384" ht="16.5" customHeight="1" thickBot="1" x14ac:dyDescent="0.3">
      <c r="J11" s="27"/>
      <c r="L11" s="32">
        <v>1</v>
      </c>
      <c r="M11" s="32">
        <f t="shared" si="0"/>
        <v>0.25</v>
      </c>
      <c r="N11" s="16">
        <v>0.995</v>
      </c>
      <c r="P11" s="32">
        <v>1</v>
      </c>
      <c r="Q11" s="73"/>
      <c r="R11" s="35"/>
      <c r="S11" s="8"/>
      <c r="T11" s="8"/>
      <c r="U11" s="8"/>
      <c r="V11" s="27"/>
    </row>
    <row r="12" spans="2:27 16384:16384" ht="15.75" customHeight="1" x14ac:dyDescent="0.25">
      <c r="B12" s="91" t="s">
        <v>13</v>
      </c>
      <c r="C12" s="5">
        <v>0</v>
      </c>
      <c r="D12" s="5">
        <v>1</v>
      </c>
      <c r="E12" s="5">
        <v>2</v>
      </c>
      <c r="F12" s="5">
        <v>3</v>
      </c>
      <c r="G12" s="5">
        <v>4</v>
      </c>
      <c r="J12" s="27"/>
      <c r="L12" s="32">
        <v>2</v>
      </c>
      <c r="M12" s="32">
        <f t="shared" si="0"/>
        <v>0.5</v>
      </c>
      <c r="N12" s="16">
        <v>0.99099999999999999</v>
      </c>
      <c r="P12" s="32">
        <v>2</v>
      </c>
      <c r="Q12" s="73"/>
      <c r="R12" s="35"/>
      <c r="S12" s="14"/>
      <c r="T12" s="8"/>
      <c r="U12" s="14"/>
      <c r="V12" s="27"/>
      <c r="Y12" s="6"/>
      <c r="AA12" s="7"/>
    </row>
    <row r="13" spans="2:27 16384:16384" ht="16.5" thickBot="1" x14ac:dyDescent="0.3">
      <c r="B13" s="92"/>
      <c r="C13" s="81"/>
      <c r="D13" s="81"/>
      <c r="E13" s="81"/>
      <c r="F13" s="81"/>
      <c r="G13" s="81"/>
      <c r="J13" s="27"/>
      <c r="L13" s="32">
        <v>3</v>
      </c>
      <c r="M13" s="32">
        <f t="shared" si="0"/>
        <v>0.75</v>
      </c>
      <c r="N13" s="16">
        <v>0.98899999999999999</v>
      </c>
      <c r="P13" s="32">
        <v>3</v>
      </c>
      <c r="Q13" s="73"/>
      <c r="R13" s="35"/>
      <c r="S13" s="14"/>
      <c r="T13" s="8"/>
      <c r="U13" s="14"/>
      <c r="V13" s="27"/>
      <c r="Y13" s="6"/>
    </row>
    <row r="14" spans="2:27 16384:16384" x14ac:dyDescent="0.25">
      <c r="C14" s="82"/>
      <c r="D14" s="81"/>
      <c r="E14" s="81"/>
      <c r="F14" s="81"/>
      <c r="G14" s="81"/>
      <c r="J14" s="27"/>
      <c r="L14" s="32">
        <v>4</v>
      </c>
      <c r="M14" s="32">
        <f t="shared" si="0"/>
        <v>1</v>
      </c>
      <c r="N14" s="16">
        <v>0.98</v>
      </c>
      <c r="P14" s="32">
        <v>4</v>
      </c>
      <c r="Q14" s="73"/>
      <c r="R14" s="35"/>
      <c r="S14" s="14"/>
      <c r="T14" s="8"/>
      <c r="U14" s="14"/>
      <c r="V14" s="27"/>
      <c r="Y14" s="6"/>
    </row>
    <row r="15" spans="2:27 16384:16384" ht="16.5" thickBot="1" x14ac:dyDescent="0.3">
      <c r="C15" s="82"/>
      <c r="D15" s="82"/>
      <c r="E15" s="81"/>
      <c r="F15" s="81"/>
      <c r="G15" s="81"/>
      <c r="J15" s="27"/>
      <c r="L15" s="33">
        <v>5</v>
      </c>
      <c r="M15" s="33">
        <f t="shared" si="0"/>
        <v>1.25</v>
      </c>
      <c r="N15" s="17">
        <v>0.97450000000000003</v>
      </c>
      <c r="P15" s="33">
        <v>5</v>
      </c>
      <c r="Q15" s="74"/>
      <c r="R15" s="36"/>
      <c r="S15" s="14"/>
      <c r="T15" s="8"/>
      <c r="U15" s="14"/>
      <c r="V15" s="27"/>
      <c r="Y15" s="6"/>
    </row>
    <row r="16" spans="2:27 16384:16384" ht="16.5" thickBot="1" x14ac:dyDescent="0.3">
      <c r="C16" s="82"/>
      <c r="D16" s="82"/>
      <c r="E16" s="82"/>
      <c r="F16" s="81"/>
      <c r="G16" s="81"/>
      <c r="J16" s="27"/>
      <c r="T16" s="76"/>
      <c r="V16" s="27"/>
    </row>
    <row r="17" spans="1:28" x14ac:dyDescent="0.25">
      <c r="C17" s="82"/>
      <c r="D17" s="82"/>
      <c r="E17" s="82"/>
      <c r="F17" s="82"/>
      <c r="G17" s="81"/>
      <c r="J17" s="27"/>
      <c r="V17" s="27"/>
    </row>
    <row r="18" spans="1:28" x14ac:dyDescent="0.25">
      <c r="C18" s="82"/>
      <c r="D18" s="82"/>
      <c r="E18" s="82"/>
      <c r="F18" s="82"/>
      <c r="G18" s="82"/>
      <c r="J18" s="27"/>
      <c r="V18" s="27"/>
    </row>
    <row r="19" spans="1:28" x14ac:dyDescent="0.25">
      <c r="C19" s="23"/>
      <c r="D19" s="23"/>
      <c r="E19" s="23"/>
      <c r="F19" s="23"/>
      <c r="G19" s="23"/>
      <c r="J19" s="27"/>
      <c r="V19" s="27"/>
    </row>
    <row r="20" spans="1:28" x14ac:dyDescent="0.25">
      <c r="A20" s="27"/>
      <c r="B20" s="27"/>
      <c r="C20" s="83"/>
      <c r="D20" s="83"/>
      <c r="E20" s="83"/>
      <c r="F20" s="83"/>
      <c r="G20" s="8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spans="1:28" x14ac:dyDescent="0.25">
      <c r="C21" s="23"/>
      <c r="D21" s="23"/>
      <c r="E21" s="23"/>
      <c r="F21" s="23"/>
      <c r="G21" s="23"/>
      <c r="J21" s="27"/>
      <c r="V21" s="27"/>
    </row>
    <row r="22" spans="1:28" x14ac:dyDescent="0.25">
      <c r="C22" s="23"/>
      <c r="D22" s="23"/>
      <c r="E22" s="23"/>
      <c r="F22" s="23"/>
      <c r="G22" s="23"/>
      <c r="J22" s="27"/>
      <c r="L22" s="12" t="s">
        <v>48</v>
      </c>
      <c r="V22" s="27"/>
      <c r="W22" s="12"/>
      <c r="X22" s="12" t="s">
        <v>20</v>
      </c>
    </row>
    <row r="23" spans="1:28" x14ac:dyDescent="0.25">
      <c r="C23" s="23"/>
      <c r="D23" s="23"/>
      <c r="E23" s="23"/>
      <c r="F23" s="23"/>
      <c r="G23" s="23"/>
      <c r="J23" s="27"/>
      <c r="V23" s="27"/>
      <c r="Y23" s="21"/>
    </row>
    <row r="24" spans="1:28" x14ac:dyDescent="0.25">
      <c r="C24" s="84" t="s">
        <v>16</v>
      </c>
      <c r="D24" s="23"/>
      <c r="E24" s="23"/>
      <c r="F24" s="23"/>
      <c r="G24" s="23"/>
      <c r="J24" s="27"/>
      <c r="L24" s="13" t="s">
        <v>18</v>
      </c>
      <c r="V24" s="27"/>
      <c r="X24" s="1" t="s">
        <v>21</v>
      </c>
    </row>
    <row r="25" spans="1:28" x14ac:dyDescent="0.25">
      <c r="C25" s="5">
        <v>0</v>
      </c>
      <c r="D25" s="5">
        <v>1</v>
      </c>
      <c r="E25" s="5">
        <v>2</v>
      </c>
      <c r="F25" s="5">
        <v>3</v>
      </c>
      <c r="G25" s="5">
        <v>4</v>
      </c>
      <c r="J25" s="27"/>
      <c r="L25" s="5">
        <v>0</v>
      </c>
      <c r="M25" s="5">
        <v>1</v>
      </c>
      <c r="N25" s="5">
        <v>2</v>
      </c>
      <c r="O25" s="5">
        <v>3</v>
      </c>
      <c r="P25" s="5">
        <v>4</v>
      </c>
      <c r="Q25" s="5">
        <v>5</v>
      </c>
      <c r="V25" s="27"/>
      <c r="X25" s="1" t="s">
        <v>23</v>
      </c>
      <c r="Y25" s="8"/>
      <c r="Z25" s="8"/>
      <c r="AA25" s="8"/>
    </row>
    <row r="26" spans="1:28" ht="16.5" thickBot="1" x14ac:dyDescent="0.3">
      <c r="C26" s="85"/>
      <c r="D26" s="85"/>
      <c r="E26" s="85"/>
      <c r="F26" s="85"/>
      <c r="G26" s="85"/>
      <c r="J26" s="27"/>
      <c r="L26" s="58"/>
      <c r="M26" s="54"/>
      <c r="N26" s="54"/>
      <c r="O26" s="54"/>
      <c r="P26" s="54"/>
      <c r="Q26" s="55"/>
      <c r="R26" s="28"/>
      <c r="S26" s="28"/>
      <c r="T26" s="28"/>
      <c r="U26" s="28"/>
      <c r="V26" s="29"/>
      <c r="X26" s="1" t="s">
        <v>22</v>
      </c>
      <c r="Z26" s="1" t="s">
        <v>30</v>
      </c>
      <c r="AA26" s="22"/>
      <c r="AB26" s="22"/>
    </row>
    <row r="27" spans="1:28" ht="16.5" thickBot="1" x14ac:dyDescent="0.3">
      <c r="C27" s="86"/>
      <c r="D27" s="85"/>
      <c r="E27" s="85"/>
      <c r="F27" s="85"/>
      <c r="G27" s="85"/>
      <c r="J27" s="27"/>
      <c r="L27" s="9"/>
      <c r="M27" s="54"/>
      <c r="N27" s="54"/>
      <c r="O27" s="54"/>
      <c r="P27" s="54"/>
      <c r="Q27" s="55"/>
      <c r="R27" s="28"/>
      <c r="S27" s="28"/>
      <c r="T27" s="28"/>
      <c r="U27" s="28"/>
      <c r="V27" s="29"/>
      <c r="W27" s="23"/>
      <c r="X27" s="37" t="s">
        <v>24</v>
      </c>
      <c r="Y27" s="38"/>
      <c r="Z27" s="37" t="s">
        <v>31</v>
      </c>
      <c r="AA27" s="44"/>
      <c r="AB27" s="22"/>
    </row>
    <row r="28" spans="1:28" x14ac:dyDescent="0.25">
      <c r="C28" s="86"/>
      <c r="D28" s="86"/>
      <c r="E28" s="85"/>
      <c r="F28" s="85"/>
      <c r="G28" s="85"/>
      <c r="J28" s="27"/>
      <c r="L28" s="9"/>
      <c r="M28" s="9"/>
      <c r="N28" s="54"/>
      <c r="O28" s="54"/>
      <c r="P28" s="54"/>
      <c r="Q28" s="55"/>
      <c r="R28" s="28"/>
      <c r="S28" s="28"/>
      <c r="T28" s="28"/>
      <c r="U28" s="28"/>
      <c r="V28" s="29"/>
      <c r="X28" s="20"/>
      <c r="Y28" s="19"/>
      <c r="Z28" s="22"/>
      <c r="AA28" s="22"/>
      <c r="AB28" s="22"/>
    </row>
    <row r="29" spans="1:28" x14ac:dyDescent="0.25">
      <c r="C29" s="86"/>
      <c r="D29" s="86"/>
      <c r="E29" s="86"/>
      <c r="F29" s="85"/>
      <c r="G29" s="85"/>
      <c r="J29" s="27"/>
      <c r="L29" s="9"/>
      <c r="M29" s="9"/>
      <c r="N29" s="9"/>
      <c r="O29" s="54"/>
      <c r="P29" s="54"/>
      <c r="Q29" s="55"/>
      <c r="V29" s="27"/>
      <c r="X29" s="1" t="s">
        <v>36</v>
      </c>
      <c r="Y29" s="7"/>
      <c r="Z29" s="19"/>
      <c r="AA29" s="39"/>
      <c r="AB29" s="28"/>
    </row>
    <row r="30" spans="1:28" ht="16.5" thickBot="1" x14ac:dyDescent="0.3">
      <c r="C30" s="23"/>
      <c r="D30" s="23"/>
      <c r="E30" s="23"/>
      <c r="F30" s="23"/>
      <c r="G30" s="85"/>
      <c r="J30" s="27"/>
      <c r="P30" s="54"/>
      <c r="Q30" s="55"/>
      <c r="V30" s="27"/>
      <c r="Y30" s="40"/>
      <c r="Z30" s="19"/>
      <c r="AA30" s="28"/>
    </row>
    <row r="31" spans="1:28" ht="16.5" thickBot="1" x14ac:dyDescent="0.3">
      <c r="C31" s="23"/>
      <c r="D31" s="23"/>
      <c r="E31" s="23"/>
      <c r="F31" s="23"/>
      <c r="G31" s="23"/>
      <c r="J31" s="27"/>
      <c r="Q31" s="55"/>
      <c r="V31" s="27"/>
      <c r="W31" s="8"/>
      <c r="X31" s="18" t="s">
        <v>25</v>
      </c>
      <c r="Y31" s="41" t="s">
        <v>26</v>
      </c>
      <c r="Z31" s="42" t="s">
        <v>27</v>
      </c>
      <c r="AA31" s="42" t="s">
        <v>28</v>
      </c>
      <c r="AB31" s="43" t="s">
        <v>29</v>
      </c>
    </row>
    <row r="32" spans="1:28" ht="16.5" thickBot="1" x14ac:dyDescent="0.3">
      <c r="C32" s="23"/>
      <c r="D32" s="23"/>
      <c r="E32" s="23"/>
      <c r="F32" s="23"/>
      <c r="G32" s="23"/>
      <c r="J32" s="27"/>
      <c r="V32" s="27"/>
    </row>
    <row r="33" spans="3:30" x14ac:dyDescent="0.25">
      <c r="C33" s="84" t="s">
        <v>17</v>
      </c>
      <c r="D33" s="23"/>
      <c r="E33" s="23"/>
      <c r="F33" s="23"/>
      <c r="G33" s="23"/>
      <c r="J33" s="27"/>
      <c r="V33" s="27"/>
      <c r="W33" s="24"/>
      <c r="X33" s="51"/>
      <c r="Y33" s="45"/>
      <c r="Z33" s="45"/>
      <c r="AA33" s="45"/>
      <c r="AB33" s="46"/>
    </row>
    <row r="34" spans="3:30" x14ac:dyDescent="0.25">
      <c r="C34" s="5">
        <v>0</v>
      </c>
      <c r="D34" s="5">
        <v>1</v>
      </c>
      <c r="E34" s="5">
        <v>2</v>
      </c>
      <c r="F34" s="5">
        <v>3</v>
      </c>
      <c r="G34" s="5">
        <v>4</v>
      </c>
      <c r="J34" s="27"/>
      <c r="L34" s="13" t="s">
        <v>4</v>
      </c>
      <c r="V34" s="27"/>
      <c r="W34" s="24"/>
      <c r="X34" s="52"/>
      <c r="Y34" s="47"/>
      <c r="Z34" s="47"/>
      <c r="AA34" s="47"/>
      <c r="AB34" s="48"/>
    </row>
    <row r="35" spans="3:30" x14ac:dyDescent="0.25">
      <c r="C35" s="87"/>
      <c r="D35" s="87"/>
      <c r="E35" s="87"/>
      <c r="F35" s="87"/>
      <c r="G35" s="87"/>
      <c r="J35" s="27"/>
      <c r="L35" s="5">
        <v>0</v>
      </c>
      <c r="M35" s="5">
        <v>1</v>
      </c>
      <c r="N35" s="5">
        <v>2</v>
      </c>
      <c r="O35" s="5">
        <v>3</v>
      </c>
      <c r="P35" s="5">
        <v>4</v>
      </c>
      <c r="V35" s="27"/>
      <c r="W35" s="24"/>
      <c r="X35" s="52"/>
      <c r="Y35" s="47"/>
      <c r="Z35" s="47"/>
      <c r="AA35" s="47"/>
      <c r="AB35" s="48"/>
    </row>
    <row r="36" spans="3:30" x14ac:dyDescent="0.25">
      <c r="C36" s="86"/>
      <c r="D36" s="87"/>
      <c r="E36" s="87"/>
      <c r="F36" s="87"/>
      <c r="G36" s="87"/>
      <c r="J36" s="27"/>
      <c r="L36" s="58"/>
      <c r="M36" s="54"/>
      <c r="N36" s="54"/>
      <c r="O36" s="54"/>
      <c r="P36" s="55"/>
      <c r="V36" s="27"/>
      <c r="W36" s="24"/>
      <c r="X36" s="52"/>
      <c r="Y36" s="47"/>
      <c r="Z36" s="47"/>
      <c r="AA36" s="47"/>
      <c r="AB36" s="48"/>
    </row>
    <row r="37" spans="3:30" ht="16.5" thickBot="1" x14ac:dyDescent="0.3">
      <c r="C37" s="86"/>
      <c r="D37" s="86"/>
      <c r="E37" s="87"/>
      <c r="F37" s="87"/>
      <c r="G37" s="87"/>
      <c r="J37" s="27"/>
      <c r="L37" s="64"/>
      <c r="M37" s="54"/>
      <c r="N37" s="54"/>
      <c r="O37" s="54"/>
      <c r="P37" s="55"/>
      <c r="V37" s="27"/>
      <c r="X37" s="53"/>
      <c r="Y37" s="50"/>
      <c r="Z37" s="50"/>
      <c r="AA37" s="50"/>
      <c r="AB37" s="49"/>
    </row>
    <row r="38" spans="3:30" x14ac:dyDescent="0.25">
      <c r="C38" s="86"/>
      <c r="D38" s="86"/>
      <c r="E38" s="86"/>
      <c r="F38" s="87"/>
      <c r="G38" s="87"/>
      <c r="J38" s="27"/>
      <c r="L38" s="64"/>
      <c r="M38" s="64"/>
      <c r="N38" s="54"/>
      <c r="O38" s="54"/>
      <c r="P38" s="55"/>
      <c r="V38" s="27"/>
    </row>
    <row r="39" spans="3:30" x14ac:dyDescent="0.25">
      <c r="C39" s="23"/>
      <c r="D39" s="23"/>
      <c r="E39" s="23"/>
      <c r="F39" s="23"/>
      <c r="G39" s="87"/>
      <c r="J39" s="27"/>
      <c r="L39" s="64"/>
      <c r="M39" s="64"/>
      <c r="N39" s="64"/>
      <c r="O39" s="54"/>
      <c r="P39" s="55"/>
      <c r="V39" s="27"/>
      <c r="X39" s="1" t="s">
        <v>33</v>
      </c>
    </row>
    <row r="40" spans="3:30" x14ac:dyDescent="0.25">
      <c r="J40" s="27"/>
      <c r="L40" s="64"/>
      <c r="M40" s="64"/>
      <c r="N40" s="64"/>
      <c r="O40" s="64"/>
      <c r="P40" s="55"/>
      <c r="V40" s="27"/>
      <c r="X40" s="5">
        <v>0</v>
      </c>
      <c r="Y40" s="5">
        <v>1</v>
      </c>
      <c r="Z40" s="5">
        <v>2</v>
      </c>
      <c r="AA40" s="5">
        <v>3</v>
      </c>
      <c r="AB40" s="5">
        <v>4</v>
      </c>
    </row>
    <row r="41" spans="3:30" x14ac:dyDescent="0.25">
      <c r="J41" s="27"/>
      <c r="V41" s="27"/>
      <c r="W41" s="20"/>
      <c r="X41" s="58">
        <f>AVERAGE(Y41:Y42)*EXP(-C26*deltat)</f>
        <v>0</v>
      </c>
      <c r="Y41" s="54">
        <f>AVERAGE(Z41:Z42)*EXP(-D26*deltat)</f>
        <v>0</v>
      </c>
      <c r="Z41" s="54">
        <f>AVERAGE(AA41:AA42)*EXP(-E26*deltat)</f>
        <v>0</v>
      </c>
      <c r="AA41" s="54">
        <f>AVERAGE(AB41:AB42)*EXP(-F26*deltat)</f>
        <v>0</v>
      </c>
      <c r="AB41" s="55">
        <f t="array" ref="AB41:AB45">Y33:Y37</f>
        <v>0</v>
      </c>
    </row>
    <row r="42" spans="3:30" x14ac:dyDescent="0.25">
      <c r="J42" s="27"/>
      <c r="V42" s="27"/>
      <c r="Y42" s="54">
        <f>AVERAGE(Z42:Z43)*EXP(-D27*deltat)</f>
        <v>0</v>
      </c>
      <c r="Z42" s="54">
        <f>AVERAGE(AA42:AA43)*EXP(-E27*deltat)</f>
        <v>0</v>
      </c>
      <c r="AA42" s="54">
        <f>AVERAGE(AB42:AB43)*EXP(-F27*deltat)</f>
        <v>0</v>
      </c>
      <c r="AB42" s="55">
        <v>0</v>
      </c>
    </row>
    <row r="43" spans="3:30" x14ac:dyDescent="0.25">
      <c r="J43" s="27"/>
      <c r="L43" s="13" t="s">
        <v>5</v>
      </c>
      <c r="V43" s="27"/>
      <c r="Z43" s="54">
        <f>AVERAGE(AA43:AA44)*EXP(-E28*deltat)</f>
        <v>0</v>
      </c>
      <c r="AA43" s="54">
        <f>AVERAGE(AB43:AB44)*EXP(-F28*deltat)</f>
        <v>0</v>
      </c>
      <c r="AB43" s="55">
        <v>0</v>
      </c>
    </row>
    <row r="44" spans="3:30" x14ac:dyDescent="0.25">
      <c r="J44" s="27"/>
      <c r="L44" s="5">
        <v>0</v>
      </c>
      <c r="M44" s="5">
        <v>1</v>
      </c>
      <c r="N44" s="5">
        <v>2</v>
      </c>
      <c r="O44" s="5">
        <v>3</v>
      </c>
      <c r="V44" s="27"/>
      <c r="AA44" s="54">
        <f>AVERAGE(AB44:AB45)*EXP(-F29*deltat)</f>
        <v>0</v>
      </c>
      <c r="AB44" s="55">
        <v>0</v>
      </c>
    </row>
    <row r="45" spans="3:30" x14ac:dyDescent="0.25">
      <c r="J45" s="27"/>
      <c r="L45" s="65"/>
      <c r="M45" s="56"/>
      <c r="N45" s="56"/>
      <c r="O45" s="57"/>
      <c r="V45" s="27"/>
      <c r="AB45" s="55">
        <v>0</v>
      </c>
    </row>
    <row r="46" spans="3:30" x14ac:dyDescent="0.25">
      <c r="J46" s="27"/>
      <c r="L46" s="66"/>
      <c r="M46" s="56"/>
      <c r="N46" s="56"/>
      <c r="O46" s="57"/>
      <c r="V46" s="27"/>
      <c r="X46" s="25"/>
    </row>
    <row r="47" spans="3:30" x14ac:dyDescent="0.25">
      <c r="J47" s="27"/>
      <c r="L47" s="66"/>
      <c r="M47" s="66"/>
      <c r="N47" s="56"/>
      <c r="O47" s="57"/>
      <c r="V47" s="27"/>
      <c r="X47" s="1" t="s">
        <v>32</v>
      </c>
    </row>
    <row r="48" spans="3:30" x14ac:dyDescent="0.25">
      <c r="J48" s="27"/>
      <c r="L48" s="66"/>
      <c r="M48" s="66"/>
      <c r="N48" s="66"/>
      <c r="O48" s="57"/>
      <c r="V48" s="27"/>
      <c r="X48" s="5">
        <v>0</v>
      </c>
      <c r="Y48" s="5">
        <v>1</v>
      </c>
      <c r="Z48" s="5">
        <v>2</v>
      </c>
      <c r="AA48" s="5">
        <v>3</v>
      </c>
      <c r="AB48" s="5">
        <v>4</v>
      </c>
      <c r="AD48" s="1" t="s">
        <v>37</v>
      </c>
    </row>
    <row r="49" spans="10:37" x14ac:dyDescent="0.25">
      <c r="J49" s="27"/>
      <c r="V49" s="27"/>
      <c r="X49" s="58">
        <f>AVERAGE(Y49:Y50)*EXP(-C26*deltat)</f>
        <v>0</v>
      </c>
      <c r="Y49" s="54">
        <f>AVERAGE(Z49:Z50)*EXP(-D26*deltat)</f>
        <v>0</v>
      </c>
      <c r="Z49" s="54">
        <f>AVERAGE(AA49:AA50)*EXP(-E26*deltat)</f>
        <v>0</v>
      </c>
      <c r="AA49" s="56">
        <f>AVERAGE(AB49:AB50)*EXP(-F26*deltat)</f>
        <v>0</v>
      </c>
      <c r="AB49" s="55">
        <f t="array" ref="AB49:AB53">Z33:Z37</f>
        <v>0</v>
      </c>
      <c r="AD49" s="59">
        <f>X49*100000000000</f>
        <v>0</v>
      </c>
    </row>
    <row r="50" spans="10:37" x14ac:dyDescent="0.25">
      <c r="J50" s="27"/>
      <c r="V50" s="27"/>
      <c r="Y50" s="54">
        <f>AVERAGE(Z50:Z51)*EXP(-D27*deltat)</f>
        <v>0</v>
      </c>
      <c r="Z50" s="54">
        <f>AVERAGE(AA50:AA51)*EXP(-E27*deltat)</f>
        <v>0</v>
      </c>
      <c r="AA50" s="54">
        <f>AVERAGE(AB50:AB51)*EXP(-F27*deltat)</f>
        <v>0</v>
      </c>
      <c r="AB50" s="55">
        <v>0</v>
      </c>
      <c r="AD50" s="1" t="s">
        <v>38</v>
      </c>
    </row>
    <row r="51" spans="10:37" x14ac:dyDescent="0.25">
      <c r="J51" s="27"/>
      <c r="L51" s="13" t="s">
        <v>6</v>
      </c>
      <c r="V51" s="27"/>
      <c r="Z51" s="54">
        <f>AVERAGE(AA51:AA52)*EXP(-E28*deltat)</f>
        <v>0</v>
      </c>
      <c r="AA51" s="54">
        <f>AVERAGE(AB51:AB52)*EXP(-F28*deltat)</f>
        <v>0</v>
      </c>
      <c r="AB51" s="55">
        <v>0</v>
      </c>
      <c r="AD51" s="4" t="e">
        <f>(Q14/Q15-1)/deltat</f>
        <v>#DIV/0!</v>
      </c>
    </row>
    <row r="52" spans="10:37" x14ac:dyDescent="0.25">
      <c r="J52" s="27"/>
      <c r="L52" s="5">
        <v>0</v>
      </c>
      <c r="M52" s="5">
        <v>1</v>
      </c>
      <c r="N52" s="5">
        <v>2</v>
      </c>
      <c r="V52" s="27"/>
      <c r="AA52" s="54">
        <f>AVERAGE(AB52:AB53)*EXP(-F29*deltat)</f>
        <v>0</v>
      </c>
      <c r="AB52" s="55">
        <v>0</v>
      </c>
    </row>
    <row r="53" spans="10:37" x14ac:dyDescent="0.25">
      <c r="J53" s="27"/>
      <c r="L53" s="65"/>
      <c r="M53" s="56"/>
      <c r="N53" s="57"/>
      <c r="V53" s="27"/>
      <c r="AB53" s="55">
        <v>0</v>
      </c>
    </row>
    <row r="54" spans="10:37" x14ac:dyDescent="0.25">
      <c r="J54" s="27"/>
      <c r="L54" s="66"/>
      <c r="M54" s="56"/>
      <c r="N54" s="57"/>
      <c r="V54" s="27"/>
      <c r="X54" s="25"/>
    </row>
    <row r="55" spans="10:37" x14ac:dyDescent="0.25">
      <c r="J55" s="27"/>
      <c r="L55" s="66"/>
      <c r="M55" s="66"/>
      <c r="N55" s="57"/>
      <c r="V55" s="27"/>
      <c r="X55" s="1" t="s">
        <v>34</v>
      </c>
      <c r="AD55" s="12" t="s">
        <v>51</v>
      </c>
    </row>
    <row r="56" spans="10:37" x14ac:dyDescent="0.25">
      <c r="J56" s="27"/>
      <c r="V56" s="27"/>
      <c r="X56" s="5">
        <v>0</v>
      </c>
      <c r="Y56" s="5">
        <v>1</v>
      </c>
      <c r="Z56" s="5">
        <v>2</v>
      </c>
      <c r="AA56" s="5">
        <v>3</v>
      </c>
      <c r="AB56" s="5">
        <v>4</v>
      </c>
    </row>
    <row r="57" spans="10:37" x14ac:dyDescent="0.25">
      <c r="J57" s="27"/>
      <c r="V57" s="27"/>
      <c r="X57" s="58">
        <f>AVERAGE(Y57:Y58)*EXP(-C26*deltat)</f>
        <v>0</v>
      </c>
      <c r="Y57" s="54">
        <f>AVERAGE(Z57:Z58)*EXP(-D26*deltat)</f>
        <v>0</v>
      </c>
      <c r="Z57" s="54">
        <f>AVERAGE(AA57:AA58)*EXP(-E26*deltat)</f>
        <v>0</v>
      </c>
      <c r="AA57" s="54">
        <f>AVERAGE(AB57:AB58)*EXP(-F26*deltat)</f>
        <v>0</v>
      </c>
      <c r="AB57" s="55">
        <f t="array" ref="AB57:AB61">AA33:AA37</f>
        <v>0</v>
      </c>
      <c r="AD57" s="1" t="s">
        <v>46</v>
      </c>
    </row>
    <row r="58" spans="10:37" x14ac:dyDescent="0.25">
      <c r="J58" s="27"/>
      <c r="V58" s="27"/>
      <c r="Y58" s="54">
        <f>AVERAGE(Z58:Z59)*EXP(-D27*deltat)</f>
        <v>0</v>
      </c>
      <c r="Z58" s="54">
        <f>AVERAGE(AA58:AA59)*EXP(-E27*deltat)</f>
        <v>0</v>
      </c>
      <c r="AA58" s="54">
        <f>AVERAGE(AB58:AB59)*EXP(-F27*deltat)</f>
        <v>0</v>
      </c>
      <c r="AB58" s="55">
        <v>0</v>
      </c>
      <c r="AD58" s="1" t="s">
        <v>47</v>
      </c>
    </row>
    <row r="59" spans="10:37" x14ac:dyDescent="0.25">
      <c r="J59" s="27"/>
      <c r="L59" s="13" t="s">
        <v>7</v>
      </c>
      <c r="V59" s="27"/>
      <c r="Z59" s="54">
        <f>AVERAGE(AA59:AA60)*EXP(-E28*deltat)</f>
        <v>0</v>
      </c>
      <c r="AA59" s="54">
        <f>AVERAGE(AB59:AB60)*EXP(-F28*deltat)</f>
        <v>0</v>
      </c>
      <c r="AB59" s="55">
        <v>0</v>
      </c>
    </row>
    <row r="60" spans="10:37" ht="16.5" thickBot="1" x14ac:dyDescent="0.3">
      <c r="J60" s="27"/>
      <c r="L60" s="5">
        <v>0</v>
      </c>
      <c r="M60" s="5">
        <v>1</v>
      </c>
      <c r="V60" s="27"/>
      <c r="AA60" s="54">
        <f>AVERAGE(AB60:AB61)*EXP(-F29*deltat)</f>
        <v>0</v>
      </c>
      <c r="AB60" s="55">
        <v>0</v>
      </c>
      <c r="AD60" s="1" t="s">
        <v>39</v>
      </c>
      <c r="AG60" s="1" t="s">
        <v>40</v>
      </c>
      <c r="AJ60" s="1" t="s">
        <v>49</v>
      </c>
    </row>
    <row r="61" spans="10:37" ht="16.5" thickBot="1" x14ac:dyDescent="0.3">
      <c r="J61" s="27"/>
      <c r="L61" s="67"/>
      <c r="M61" s="68"/>
      <c r="V61" s="27"/>
      <c r="AB61" s="55">
        <v>0</v>
      </c>
      <c r="AD61" s="60"/>
      <c r="AE61" s="63">
        <f>AB49</f>
        <v>0</v>
      </c>
      <c r="AG61" s="70">
        <f>O36</f>
        <v>0</v>
      </c>
      <c r="AH61" s="63">
        <f>P36</f>
        <v>0</v>
      </c>
      <c r="AJ61" s="70">
        <f>O26</f>
        <v>0</v>
      </c>
      <c r="AK61" s="63">
        <f>P26</f>
        <v>0</v>
      </c>
    </row>
    <row r="62" spans="10:37" ht="16.5" thickBot="1" x14ac:dyDescent="0.3">
      <c r="J62" s="27"/>
      <c r="L62" s="69"/>
      <c r="M62" s="68"/>
      <c r="V62" s="27"/>
      <c r="X62" s="25"/>
      <c r="AE62" s="70">
        <f>AB50</f>
        <v>0</v>
      </c>
      <c r="AH62" s="70">
        <f>P37</f>
        <v>0</v>
      </c>
      <c r="AK62" s="70">
        <f>P27</f>
        <v>0</v>
      </c>
    </row>
    <row r="63" spans="10:37" x14ac:dyDescent="0.25">
      <c r="J63" s="27"/>
      <c r="V63" s="27"/>
      <c r="X63" s="1" t="s">
        <v>35</v>
      </c>
    </row>
    <row r="64" spans="10:37" ht="16.5" thickBot="1" x14ac:dyDescent="0.3">
      <c r="J64" s="27"/>
      <c r="V64" s="27"/>
      <c r="X64" s="5">
        <v>0</v>
      </c>
      <c r="Y64" s="5">
        <v>1</v>
      </c>
      <c r="Z64" s="5">
        <v>2</v>
      </c>
      <c r="AA64" s="5">
        <v>3</v>
      </c>
      <c r="AB64" s="5">
        <v>4</v>
      </c>
    </row>
    <row r="65" spans="1:37" x14ac:dyDescent="0.25">
      <c r="J65" s="27"/>
      <c r="V65" s="27"/>
      <c r="X65" s="58">
        <f>AVERAGE(Y65:Y66)*EXP(-C26*deltat)</f>
        <v>0</v>
      </c>
      <c r="Y65" s="54">
        <f>AVERAGE(Z65:Z66)*EXP(-D26*deltat)</f>
        <v>0</v>
      </c>
      <c r="Z65" s="54">
        <f>AVERAGE(AA65:AA66)*EXP(-E26*deltat)</f>
        <v>0</v>
      </c>
      <c r="AA65" s="54">
        <f>AVERAGE(AB65:AB66)*EXP(-F26*deltat)</f>
        <v>0</v>
      </c>
      <c r="AB65" s="55">
        <f t="array" ref="AB65:AB69">AB33:AB37</f>
        <v>0</v>
      </c>
      <c r="AD65" s="1" t="s">
        <v>42</v>
      </c>
      <c r="AF65" s="1" t="s">
        <v>41</v>
      </c>
      <c r="AG65" s="61">
        <v>9999.8258173804643</v>
      </c>
    </row>
    <row r="66" spans="1:37" ht="16.5" thickBo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Y66" s="54">
        <f>AVERAGE(Z66:Z67)*EXP(-D27*deltat)</f>
        <v>0</v>
      </c>
      <c r="Z66" s="54">
        <f>AVERAGE(AA66:AA67)*EXP(-E27*deltat)</f>
        <v>0</v>
      </c>
      <c r="AA66" s="54">
        <f>AVERAGE(AB66:AB67)*EXP(-F27*deltat)</f>
        <v>0</v>
      </c>
      <c r="AB66" s="55">
        <v>0</v>
      </c>
      <c r="AD66" s="1" t="s">
        <v>50</v>
      </c>
      <c r="AF66" s="1" t="s">
        <v>43</v>
      </c>
      <c r="AG66" s="62">
        <v>-10056.263631392192</v>
      </c>
    </row>
    <row r="67" spans="1:37" ht="16.5" thickBot="1" x14ac:dyDescent="0.3">
      <c r="I67" s="10"/>
      <c r="J67" s="10"/>
      <c r="K67" s="10"/>
      <c r="Z67" s="54">
        <f>AVERAGE(AA67:AA68)*EXP(-E28*deltat)</f>
        <v>0</v>
      </c>
      <c r="AA67" s="54">
        <f>AVERAGE(AB67:AB68)*EXP(-F28*deltat)</f>
        <v>0</v>
      </c>
      <c r="AB67" s="55">
        <v>0</v>
      </c>
      <c r="AJ67" s="1" t="s">
        <v>19</v>
      </c>
    </row>
    <row r="68" spans="1:37" ht="16.5" thickBot="1" x14ac:dyDescent="0.3">
      <c r="W68" s="20"/>
      <c r="AA68" s="54">
        <f>AVERAGE(AB68:AB69)*EXP(-F29*deltat)</f>
        <v>0</v>
      </c>
      <c r="AB68" s="55">
        <v>0</v>
      </c>
      <c r="AF68" s="10" t="s">
        <v>44</v>
      </c>
      <c r="AG68" s="63">
        <f>AG65*AH61+AG66*AK61</f>
        <v>0</v>
      </c>
      <c r="AJ68" s="1">
        <f>(AG68-AE61)^2</f>
        <v>0</v>
      </c>
    </row>
    <row r="69" spans="1:37" ht="16.5" thickBot="1" x14ac:dyDescent="0.3">
      <c r="AB69" s="55">
        <v>0</v>
      </c>
      <c r="AG69" s="70">
        <f>AG65*AH62+AG66*AK62</f>
        <v>0</v>
      </c>
      <c r="AJ69" s="1">
        <f>(AG69-AE62)^2</f>
        <v>0</v>
      </c>
      <c r="AK69" s="1">
        <f>SUM(AJ68:AJ69)*10000000000</f>
        <v>0</v>
      </c>
    </row>
    <row r="70" spans="1:37" x14ac:dyDescent="0.25">
      <c r="Y70" s="20"/>
      <c r="Z70" s="6"/>
    </row>
    <row r="71" spans="1:37" ht="16.5" thickBot="1" x14ac:dyDescent="0.3">
      <c r="Z71" s="6"/>
    </row>
    <row r="72" spans="1:37" ht="16.5" thickBot="1" x14ac:dyDescent="0.3">
      <c r="AD72" s="1" t="s">
        <v>45</v>
      </c>
      <c r="AG72" s="71">
        <f>AG65*AG61+AG66*AJ61</f>
        <v>0</v>
      </c>
    </row>
    <row r="76" spans="1:37" x14ac:dyDescent="0.25">
      <c r="W76" s="20"/>
      <c r="X76" s="20"/>
      <c r="Y76" s="20"/>
      <c r="Z76" s="19"/>
      <c r="AB76" s="19"/>
    </row>
    <row r="77" spans="1:37" x14ac:dyDescent="0.25">
      <c r="X77" s="20"/>
      <c r="Y77" s="20"/>
      <c r="Z77" s="6"/>
    </row>
    <row r="78" spans="1:37" x14ac:dyDescent="0.25">
      <c r="B78" s="19"/>
      <c r="C78" s="19"/>
      <c r="E78" s="19"/>
      <c r="F78" s="19"/>
      <c r="G78" s="19"/>
      <c r="H78" s="19"/>
      <c r="L78" s="19"/>
      <c r="M78" s="19"/>
      <c r="Y78" s="20"/>
      <c r="Z78" s="6"/>
    </row>
    <row r="79" spans="1:37" x14ac:dyDescent="0.25">
      <c r="C79" s="19"/>
      <c r="F79" s="19"/>
      <c r="G79" s="19"/>
      <c r="H79" s="19"/>
      <c r="M79" s="19"/>
      <c r="Z79" s="6"/>
    </row>
    <row r="84" spans="4:26" x14ac:dyDescent="0.25">
      <c r="W84" s="20"/>
      <c r="X84" s="20"/>
      <c r="Y84" s="20"/>
      <c r="Z84" s="19"/>
    </row>
    <row r="85" spans="4:26" x14ac:dyDescent="0.25">
      <c r="D85" s="10"/>
      <c r="X85" s="20"/>
      <c r="Y85" s="20"/>
      <c r="Z85" s="6"/>
    </row>
    <row r="86" spans="4:26" x14ac:dyDescent="0.25">
      <c r="Y86" s="20"/>
      <c r="Z86" s="6"/>
    </row>
    <row r="87" spans="4:26" x14ac:dyDescent="0.25">
      <c r="Z87" s="6"/>
    </row>
    <row r="88" spans="4:26" x14ac:dyDescent="0.25">
      <c r="F88" s="26"/>
      <c r="G88" s="26"/>
      <c r="H88" s="26"/>
    </row>
  </sheetData>
  <mergeCells count="5">
    <mergeCell ref="P6:R6"/>
    <mergeCell ref="B12:B13"/>
    <mergeCell ref="L7:L9"/>
    <mergeCell ref="N7:N9"/>
    <mergeCell ref="M7:M9"/>
  </mergeCells>
  <phoneticPr fontId="0" type="noConversion"/>
  <pageMargins left="0.75" right="0.75" top="1" bottom="1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C97D-27AC-42D0-B980-2D51ADA0EF3D}">
  <dimension ref="A1:AK88"/>
  <sheetViews>
    <sheetView showGridLines="0" zoomScale="90" zoomScaleNormal="90" workbookViewId="0">
      <selection activeCell="C7" sqref="C7"/>
    </sheetView>
  </sheetViews>
  <sheetFormatPr defaultColWidth="8.88671875" defaultRowHeight="15.75" x14ac:dyDescent="0.25"/>
  <cols>
    <col min="1" max="1" width="6.109375" style="1" customWidth="1"/>
    <col min="2" max="7" width="10.21875" style="1" customWidth="1"/>
    <col min="8" max="8" width="5.6640625" style="1" customWidth="1"/>
    <col min="9" max="9" width="5.77734375" style="1" customWidth="1"/>
    <col min="10" max="10" width="2.44140625" style="1" customWidth="1"/>
    <col min="11" max="11" width="5.77734375" style="1" customWidth="1"/>
    <col min="12" max="12" width="10.6640625" style="1" customWidth="1"/>
    <col min="13" max="13" width="10.33203125" style="1" customWidth="1"/>
    <col min="14" max="17" width="8.88671875" style="1" customWidth="1"/>
    <col min="18" max="18" width="9.33203125" style="1" customWidth="1"/>
    <col min="19" max="21" width="7.77734375" style="1" customWidth="1"/>
    <col min="22" max="22" width="3" style="1" customWidth="1"/>
    <col min="23" max="23" width="10.6640625" style="1" customWidth="1"/>
    <col min="24" max="24" width="12.21875" style="1" customWidth="1"/>
    <col min="25" max="25" width="11.33203125" style="1" customWidth="1"/>
    <col min="26" max="27" width="12.6640625" style="1" customWidth="1"/>
    <col min="28" max="28" width="12.21875" style="1" customWidth="1"/>
    <col min="29" max="29" width="8.88671875" style="1"/>
    <col min="30" max="30" width="17.5546875" style="1" bestFit="1" customWidth="1"/>
    <col min="31" max="31" width="9.5546875" style="1" bestFit="1" customWidth="1"/>
    <col min="32" max="32" width="8.88671875" style="1"/>
    <col min="33" max="33" width="10.6640625" style="1" customWidth="1"/>
    <col min="34" max="34" width="12.5546875" style="1" customWidth="1"/>
    <col min="35" max="36" width="8.88671875" style="1"/>
    <col min="37" max="37" width="9.6640625" style="1" bestFit="1" customWidth="1"/>
    <col min="38" max="16384" width="8.88671875" style="1"/>
  </cols>
  <sheetData>
    <row r="1" spans="2:27" x14ac:dyDescent="0.25">
      <c r="J1" s="27"/>
    </row>
    <row r="2" spans="2:27" x14ac:dyDescent="0.25">
      <c r="J2" s="27"/>
    </row>
    <row r="3" spans="2:27" x14ac:dyDescent="0.25">
      <c r="J3" s="27"/>
      <c r="V3" s="27"/>
    </row>
    <row r="4" spans="2:27" x14ac:dyDescent="0.25">
      <c r="B4" s="13" t="s">
        <v>15</v>
      </c>
      <c r="J4" s="27"/>
      <c r="V4" s="27"/>
    </row>
    <row r="5" spans="2:27" ht="16.5" thickBot="1" x14ac:dyDescent="0.3">
      <c r="J5" s="27"/>
      <c r="L5" s="12" t="s">
        <v>8</v>
      </c>
      <c r="V5" s="27"/>
    </row>
    <row r="6" spans="2:27" ht="16.5" thickBot="1" x14ac:dyDescent="0.3">
      <c r="B6" s="2" t="s">
        <v>0</v>
      </c>
      <c r="C6" s="2" t="s">
        <v>14</v>
      </c>
      <c r="E6" s="8"/>
      <c r="J6" s="27"/>
      <c r="P6" s="88" t="s">
        <v>9</v>
      </c>
      <c r="Q6" s="89"/>
      <c r="R6" s="90"/>
      <c r="V6" s="27"/>
    </row>
    <row r="7" spans="2:27" ht="15.75" customHeight="1" thickBot="1" x14ac:dyDescent="0.3">
      <c r="B7" s="3">
        <f>1/4</f>
        <v>0.25</v>
      </c>
      <c r="C7" s="75">
        <v>0.45</v>
      </c>
      <c r="E7" s="11"/>
      <c r="J7" s="27"/>
      <c r="L7" s="91" t="s">
        <v>11</v>
      </c>
      <c r="M7" s="91" t="s">
        <v>10</v>
      </c>
      <c r="N7" s="91" t="s">
        <v>3</v>
      </c>
      <c r="V7" s="27"/>
    </row>
    <row r="8" spans="2:27" x14ac:dyDescent="0.25">
      <c r="J8" s="27"/>
      <c r="L8" s="93"/>
      <c r="M8" s="93"/>
      <c r="N8" s="93"/>
      <c r="Q8" s="8" t="s">
        <v>1</v>
      </c>
      <c r="R8" s="8" t="s">
        <v>2</v>
      </c>
      <c r="V8" s="27"/>
    </row>
    <row r="9" spans="2:27" ht="16.5" customHeight="1" thickBot="1" x14ac:dyDescent="0.3">
      <c r="C9" s="5">
        <v>0</v>
      </c>
      <c r="D9" s="5">
        <v>1</v>
      </c>
      <c r="E9" s="5">
        <v>2</v>
      </c>
      <c r="F9" s="5">
        <v>3</v>
      </c>
      <c r="G9" s="5">
        <v>4</v>
      </c>
      <c r="J9" s="27"/>
      <c r="L9" s="93"/>
      <c r="M9" s="93"/>
      <c r="N9" s="93"/>
      <c r="T9" s="1" t="s">
        <v>19</v>
      </c>
      <c r="V9" s="27"/>
      <c r="Z9" s="4"/>
    </row>
    <row r="10" spans="2:27" ht="16.149999999999999" customHeight="1" thickBot="1" x14ac:dyDescent="0.3">
      <c r="B10" s="18" t="s">
        <v>12</v>
      </c>
      <c r="C10" s="77">
        <v>2.0049708073236812E-2</v>
      </c>
      <c r="D10" s="78">
        <v>1.5714881043765311E-2</v>
      </c>
      <c r="E10" s="79">
        <v>7.6873056131611453E-3</v>
      </c>
      <c r="F10" s="78">
        <v>3.3952332371784168E-2</v>
      </c>
      <c r="G10" s="80">
        <v>2.0410740854450656E-2</v>
      </c>
      <c r="J10" s="27"/>
      <c r="L10" s="31">
        <v>0</v>
      </c>
      <c r="M10" s="31">
        <f t="shared" ref="M10:M15" si="0">L10*deltat</f>
        <v>0</v>
      </c>
      <c r="N10" s="15">
        <v>1</v>
      </c>
      <c r="P10" s="31">
        <v>0</v>
      </c>
      <c r="Q10" s="72">
        <v>1</v>
      </c>
      <c r="R10" s="34"/>
      <c r="S10" s="30"/>
      <c r="T10" s="30"/>
      <c r="U10" s="30"/>
      <c r="V10" s="27"/>
    </row>
    <row r="11" spans="2:27" ht="16.5" customHeight="1" thickBot="1" x14ac:dyDescent="0.3">
      <c r="J11" s="27"/>
      <c r="L11" s="32">
        <v>1</v>
      </c>
      <c r="M11" s="32">
        <f t="shared" si="0"/>
        <v>0.25</v>
      </c>
      <c r="N11" s="16">
        <v>0.995</v>
      </c>
      <c r="P11" s="32">
        <v>1</v>
      </c>
      <c r="Q11" s="73">
        <f>L61</f>
        <v>0.99500011423121548</v>
      </c>
      <c r="R11" s="35">
        <f>(1/(P11*deltat))*LN(1/Q11)</f>
        <v>2.0049708073236489E-2</v>
      </c>
      <c r="S11" s="8"/>
      <c r="T11" s="8">
        <f>(N11-Q11)^2</f>
        <v>1.3048770591569856E-14</v>
      </c>
      <c r="U11" s="8"/>
      <c r="V11" s="27"/>
    </row>
    <row r="12" spans="2:27" ht="15.75" customHeight="1" x14ac:dyDescent="0.25">
      <c r="B12" s="91" t="s">
        <v>13</v>
      </c>
      <c r="C12" s="5">
        <v>0</v>
      </c>
      <c r="D12" s="5">
        <v>1</v>
      </c>
      <c r="E12" s="5">
        <v>2</v>
      </c>
      <c r="F12" s="5">
        <v>3</v>
      </c>
      <c r="G12" s="5">
        <v>4</v>
      </c>
      <c r="J12" s="27"/>
      <c r="L12" s="32">
        <v>2</v>
      </c>
      <c r="M12" s="32">
        <f t="shared" si="0"/>
        <v>0.5</v>
      </c>
      <c r="N12" s="16">
        <v>0.99099999999999999</v>
      </c>
      <c r="P12" s="32">
        <v>2</v>
      </c>
      <c r="Q12" s="73">
        <f>L53</f>
        <v>0.9910001275695014</v>
      </c>
      <c r="R12" s="35">
        <f>(1/(P12*deltat))*LN(1/Q12)</f>
        <v>1.8081231848206904E-2</v>
      </c>
      <c r="S12" s="14"/>
      <c r="T12" s="8">
        <f>(N12-Q12)^2</f>
        <v>1.6273977689207622E-14</v>
      </c>
      <c r="U12" s="14"/>
      <c r="V12" s="27"/>
      <c r="Y12" s="6"/>
      <c r="AA12" s="7"/>
    </row>
    <row r="13" spans="2:27" ht="16.5" thickBot="1" x14ac:dyDescent="0.3">
      <c r="B13" s="92"/>
      <c r="C13" s="81">
        <v>0</v>
      </c>
      <c r="D13" s="81">
        <f>C13+vola*SQRT(deltat)</f>
        <v>0.22500000000000001</v>
      </c>
      <c r="E13" s="81">
        <f>D13+vola*SQRT(deltat)</f>
        <v>0.45</v>
      </c>
      <c r="F13" s="81">
        <f>E13+vola*SQRT(deltat)</f>
        <v>0.67500000000000004</v>
      </c>
      <c r="G13" s="81">
        <f>F13+vola*SQRT(deltat)</f>
        <v>0.9</v>
      </c>
      <c r="J13" s="27"/>
      <c r="L13" s="32">
        <v>3</v>
      </c>
      <c r="M13" s="32">
        <f t="shared" si="0"/>
        <v>0.75</v>
      </c>
      <c r="N13" s="16">
        <v>0.98899999999999999</v>
      </c>
      <c r="P13" s="32">
        <v>3</v>
      </c>
      <c r="Q13" s="73">
        <f>L45</f>
        <v>0.98900016123614842</v>
      </c>
      <c r="R13" s="35">
        <f>(1/(P13*deltat))*LN(1/Q13)</f>
        <v>1.4747712439954187E-2</v>
      </c>
      <c r="S13" s="14"/>
      <c r="T13" s="8">
        <f>(N13-Q13)^2</f>
        <v>2.5997095561400088E-14</v>
      </c>
      <c r="U13" s="14"/>
      <c r="V13" s="27"/>
      <c r="Y13" s="6"/>
    </row>
    <row r="14" spans="2:27" x14ac:dyDescent="0.25">
      <c r="C14" s="82"/>
      <c r="D14" s="81">
        <f>C13-vola*SQRT(deltat)</f>
        <v>-0.22500000000000001</v>
      </c>
      <c r="E14" s="81">
        <f>D13-vola*SQRT(deltat)</f>
        <v>0</v>
      </c>
      <c r="F14" s="81">
        <f>E13-vola*SQRT(deltat)</f>
        <v>0.22500000000000001</v>
      </c>
      <c r="G14" s="81">
        <f>F13-vola*SQRT(deltat)</f>
        <v>0.45000000000000007</v>
      </c>
      <c r="J14" s="27"/>
      <c r="L14" s="32">
        <v>4</v>
      </c>
      <c r="M14" s="32">
        <f t="shared" si="0"/>
        <v>1</v>
      </c>
      <c r="N14" s="16">
        <v>0.98</v>
      </c>
      <c r="P14" s="32">
        <v>4</v>
      </c>
      <c r="Q14" s="73">
        <f>L36</f>
        <v>0.98000006607889834</v>
      </c>
      <c r="R14" s="35">
        <f>(1/(P14*deltat))*LN(1/Q14)</f>
        <v>2.0202639890074349E-2</v>
      </c>
      <c r="S14" s="14"/>
      <c r="T14" s="8">
        <f>(N14-Q14)^2</f>
        <v>4.3664208075571489E-15</v>
      </c>
      <c r="U14" s="14"/>
      <c r="V14" s="27"/>
      <c r="Y14" s="6"/>
    </row>
    <row r="15" spans="2:27" ht="16.5" thickBot="1" x14ac:dyDescent="0.3">
      <c r="C15" s="82"/>
      <c r="D15" s="82"/>
      <c r="E15" s="81">
        <f>D14-vola*SQRT(deltat)</f>
        <v>-0.45</v>
      </c>
      <c r="F15" s="81">
        <f>E14-vola*SQRT(deltat)</f>
        <v>-0.22500000000000001</v>
      </c>
      <c r="G15" s="81">
        <f>F14-vola*SQRT(deltat)</f>
        <v>0</v>
      </c>
      <c r="J15" s="27"/>
      <c r="L15" s="33">
        <v>5</v>
      </c>
      <c r="M15" s="33">
        <f t="shared" si="0"/>
        <v>1.25</v>
      </c>
      <c r="N15" s="17">
        <v>0.97450000000000003</v>
      </c>
      <c r="P15" s="33">
        <v>5</v>
      </c>
      <c r="Q15" s="74">
        <f>L26</f>
        <v>0.97450002571123762</v>
      </c>
      <c r="R15" s="36">
        <f>(1/(P15*deltat))*LN(1/Q15)</f>
        <v>2.0664586920393128E-2</v>
      </c>
      <c r="S15" s="14"/>
      <c r="T15" s="8">
        <f>(N15-Q15)^2</f>
        <v>6.6106773807193E-16</v>
      </c>
      <c r="U15" s="14"/>
      <c r="V15" s="27"/>
      <c r="Y15" s="6"/>
    </row>
    <row r="16" spans="2:27" ht="16.5" thickBot="1" x14ac:dyDescent="0.3">
      <c r="C16" s="82"/>
      <c r="D16" s="82"/>
      <c r="E16" s="82"/>
      <c r="F16" s="81">
        <f>E15-vola*SQRT(deltat)</f>
        <v>-0.67500000000000004</v>
      </c>
      <c r="G16" s="81">
        <f>F15-vola*SQRT(deltat)</f>
        <v>-0.45</v>
      </c>
      <c r="J16" s="27"/>
      <c r="T16" s="76">
        <f>SUM(T11:T15)*10000000</f>
        <v>6.0347332387806636E-7</v>
      </c>
      <c r="V16" s="27"/>
    </row>
    <row r="17" spans="1:28" x14ac:dyDescent="0.25">
      <c r="C17" s="82"/>
      <c r="D17" s="82"/>
      <c r="E17" s="82"/>
      <c r="F17" s="82"/>
      <c r="G17" s="81">
        <f>F16-vola*SQRT(deltat)</f>
        <v>-0.9</v>
      </c>
      <c r="J17" s="27"/>
      <c r="V17" s="27"/>
    </row>
    <row r="18" spans="1:28" x14ac:dyDescent="0.25">
      <c r="C18" s="82"/>
      <c r="D18" s="82"/>
      <c r="E18" s="82"/>
      <c r="F18" s="82"/>
      <c r="G18" s="82"/>
      <c r="J18" s="27"/>
      <c r="V18" s="27"/>
    </row>
    <row r="19" spans="1:28" x14ac:dyDescent="0.25">
      <c r="C19" s="23"/>
      <c r="D19" s="23"/>
      <c r="E19" s="23"/>
      <c r="F19" s="23"/>
      <c r="G19" s="23"/>
      <c r="J19" s="27"/>
      <c r="V19" s="27"/>
    </row>
    <row r="20" spans="1:28" x14ac:dyDescent="0.25">
      <c r="A20" s="27"/>
      <c r="B20" s="27"/>
      <c r="C20" s="83"/>
      <c r="D20" s="83"/>
      <c r="E20" s="83"/>
      <c r="F20" s="83"/>
      <c r="G20" s="83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spans="1:28" x14ac:dyDescent="0.25">
      <c r="C21" s="23"/>
      <c r="D21" s="23"/>
      <c r="E21" s="23"/>
      <c r="F21" s="23"/>
      <c r="G21" s="23"/>
      <c r="J21" s="27"/>
      <c r="V21" s="27"/>
    </row>
    <row r="22" spans="1:28" x14ac:dyDescent="0.25">
      <c r="C22" s="23"/>
      <c r="D22" s="23"/>
      <c r="E22" s="23"/>
      <c r="F22" s="23"/>
      <c r="G22" s="23"/>
      <c r="J22" s="27"/>
      <c r="L22" s="12" t="s">
        <v>48</v>
      </c>
      <c r="V22" s="27"/>
      <c r="W22" s="12"/>
      <c r="X22" s="12" t="s">
        <v>20</v>
      </c>
    </row>
    <row r="23" spans="1:28" x14ac:dyDescent="0.25">
      <c r="C23" s="23"/>
      <c r="D23" s="23"/>
      <c r="E23" s="23"/>
      <c r="F23" s="23"/>
      <c r="G23" s="23"/>
      <c r="J23" s="27"/>
      <c r="V23" s="27"/>
      <c r="Y23" s="21"/>
    </row>
    <row r="24" spans="1:28" x14ac:dyDescent="0.25">
      <c r="C24" s="84" t="s">
        <v>16</v>
      </c>
      <c r="D24" s="23"/>
      <c r="E24" s="23"/>
      <c r="F24" s="23"/>
      <c r="G24" s="23"/>
      <c r="J24" s="27"/>
      <c r="L24" s="13" t="s">
        <v>18</v>
      </c>
      <c r="V24" s="27"/>
      <c r="X24" s="1" t="s">
        <v>21</v>
      </c>
    </row>
    <row r="25" spans="1:28" x14ac:dyDescent="0.25">
      <c r="C25" s="5">
        <v>0</v>
      </c>
      <c r="D25" s="5">
        <v>1</v>
      </c>
      <c r="E25" s="5">
        <v>2</v>
      </c>
      <c r="F25" s="5">
        <v>3</v>
      </c>
      <c r="G25" s="5">
        <v>4</v>
      </c>
      <c r="J25" s="27"/>
      <c r="L25" s="5">
        <v>0</v>
      </c>
      <c r="M25" s="5">
        <v>1</v>
      </c>
      <c r="N25" s="5">
        <v>2</v>
      </c>
      <c r="O25" s="5">
        <v>3</v>
      </c>
      <c r="P25" s="5">
        <v>4</v>
      </c>
      <c r="Q25" s="5">
        <v>5</v>
      </c>
      <c r="V25" s="27"/>
      <c r="X25" s="1" t="s">
        <v>23</v>
      </c>
      <c r="Y25" s="8"/>
      <c r="Z25" s="8"/>
      <c r="AA25" s="8"/>
    </row>
    <row r="26" spans="1:28" ht="16.5" thickBot="1" x14ac:dyDescent="0.3">
      <c r="C26" s="85">
        <f>C$10*EXP(C13)</f>
        <v>2.0049708073236812E-2</v>
      </c>
      <c r="D26" s="85">
        <f t="shared" ref="D26:G30" si="1">D$10*EXP(D13)</f>
        <v>1.9680102513360217E-2</v>
      </c>
      <c r="E26" s="85">
        <f t="shared" si="1"/>
        <v>1.2056095066707599E-2</v>
      </c>
      <c r="F26" s="85">
        <f t="shared" si="1"/>
        <v>6.6683500389272649E-2</v>
      </c>
      <c r="G26" s="85">
        <f t="shared" si="1"/>
        <v>5.0202321706625093E-2</v>
      </c>
      <c r="J26" s="27"/>
      <c r="L26" s="58">
        <f>AVERAGE(M26:M27)*EXP(-C26*deltat)</f>
        <v>0.97450002571123762</v>
      </c>
      <c r="M26" s="54">
        <f>AVERAGE(N26:N27)*EXP(-D26*deltat)</f>
        <v>0.97488565628837021</v>
      </c>
      <c r="N26" s="54">
        <f>AVERAGE(O26:O27)*EXP(-E26*deltat)</f>
        <v>0.97524627016549059</v>
      </c>
      <c r="O26" s="54">
        <f>AVERAGE(P26:P27)*EXP(-F26*deltat)</f>
        <v>0.97341489321392172</v>
      </c>
      <c r="P26" s="54">
        <f>AVERAGE(Q26:Q27)*EXP(-G26*deltat)</f>
        <v>0.98752784965065432</v>
      </c>
      <c r="Q26" s="55">
        <v>1</v>
      </c>
      <c r="R26" s="28"/>
      <c r="S26" s="28"/>
      <c r="T26" s="28"/>
      <c r="U26" s="28"/>
      <c r="V26" s="29"/>
      <c r="X26" s="1" t="s">
        <v>22</v>
      </c>
      <c r="Z26" s="1" t="s">
        <v>30</v>
      </c>
      <c r="AA26" s="22"/>
      <c r="AB26" s="22"/>
    </row>
    <row r="27" spans="1:28" ht="16.5" thickBot="1" x14ac:dyDescent="0.3">
      <c r="C27" s="86"/>
      <c r="D27" s="85">
        <f t="shared" si="1"/>
        <v>1.2548587389320888E-2</v>
      </c>
      <c r="E27" s="85">
        <f t="shared" si="1"/>
        <v>7.6873056131611453E-3</v>
      </c>
      <c r="F27" s="85">
        <f t="shared" si="1"/>
        <v>4.2519277096881712E-2</v>
      </c>
      <c r="G27" s="85">
        <f t="shared" si="1"/>
        <v>3.201041359691699E-2</v>
      </c>
      <c r="J27" s="27"/>
      <c r="L27" s="9"/>
      <c r="M27" s="54">
        <f>AVERAGE(N27:N28)*EXP(-D27*deltat)</f>
        <v>0.98390814036196039</v>
      </c>
      <c r="N27" s="54">
        <f>AVERAGE(O27:O28)*EXP(-E27*deltat)</f>
        <v>0.98414160470627987</v>
      </c>
      <c r="O27" s="54">
        <f>AVERAGE(P27:P28)*EXP(-F27*deltat)</f>
        <v>0.98296534636592259</v>
      </c>
      <c r="P27" s="54">
        <f>AVERAGE(Q27:Q28)*EXP(-G27*deltat)</f>
        <v>0.99202933218529998</v>
      </c>
      <c r="Q27" s="55">
        <v>1</v>
      </c>
      <c r="R27" s="28"/>
      <c r="S27" s="28"/>
      <c r="T27" s="28"/>
      <c r="U27" s="28"/>
      <c r="V27" s="29"/>
      <c r="W27" s="23"/>
      <c r="X27" s="37" t="s">
        <v>24</v>
      </c>
      <c r="Y27" s="38">
        <v>2.2575844936059148E-2</v>
      </c>
      <c r="Z27" s="37" t="s">
        <v>31</v>
      </c>
      <c r="AA27" s="44">
        <v>10000</v>
      </c>
      <c r="AB27" s="22"/>
    </row>
    <row r="28" spans="1:28" x14ac:dyDescent="0.25">
      <c r="C28" s="86"/>
      <c r="D28" s="86"/>
      <c r="E28" s="85">
        <f t="shared" si="1"/>
        <v>4.9016424690716239E-3</v>
      </c>
      <c r="F28" s="85">
        <f t="shared" si="1"/>
        <v>2.7111488063578687E-2</v>
      </c>
      <c r="G28" s="85">
        <f t="shared" si="1"/>
        <v>2.0410740854450656E-2</v>
      </c>
      <c r="J28" s="27"/>
      <c r="L28" s="9"/>
      <c r="M28" s="9"/>
      <c r="N28" s="54">
        <f>AVERAGE(O28:O29)*EXP(-E28*deltat)</f>
        <v>0.98985769811202617</v>
      </c>
      <c r="O28" s="54">
        <f>AVERAGE(P28:P29)*EXP(-F28*deltat)</f>
        <v>0.98910419886233414</v>
      </c>
      <c r="P28" s="54">
        <f>AVERAGE(Q28:Q29)*EXP(-G28*deltat)</f>
        <v>0.99491031136936126</v>
      </c>
      <c r="Q28" s="55">
        <v>1</v>
      </c>
      <c r="R28" s="28"/>
      <c r="S28" s="28"/>
      <c r="T28" s="28"/>
      <c r="U28" s="28"/>
      <c r="V28" s="29"/>
      <c r="X28" s="20"/>
      <c r="Y28" s="19"/>
      <c r="Z28" s="22"/>
      <c r="AA28" s="22"/>
      <c r="AB28" s="22"/>
    </row>
    <row r="29" spans="1:28" x14ac:dyDescent="0.25">
      <c r="C29" s="86"/>
      <c r="D29" s="86"/>
      <c r="E29" s="86"/>
      <c r="F29" s="85">
        <f t="shared" si="1"/>
        <v>1.7287048021695447E-2</v>
      </c>
      <c r="G29" s="85">
        <f t="shared" si="1"/>
        <v>1.3014462964254386E-2</v>
      </c>
      <c r="J29" s="27"/>
      <c r="L29" s="9"/>
      <c r="M29" s="9"/>
      <c r="N29" s="9"/>
      <c r="O29" s="54">
        <f>AVERAGE(P29:P30)*EXP(-F29*deltat)</f>
        <v>0.99303864863594049</v>
      </c>
      <c r="P29" s="54">
        <f>AVERAGE(Q29:Q30)*EXP(-G29*deltat)</f>
        <v>0.99675167153082689</v>
      </c>
      <c r="Q29" s="55">
        <v>1</v>
      </c>
      <c r="V29" s="27"/>
      <c r="X29" s="1" t="s">
        <v>36</v>
      </c>
      <c r="Y29" s="7"/>
      <c r="Z29" s="19"/>
      <c r="AA29" s="39"/>
      <c r="AB29" s="28"/>
    </row>
    <row r="30" spans="1:28" ht="16.5" thickBot="1" x14ac:dyDescent="0.3">
      <c r="C30" s="23"/>
      <c r="D30" s="23"/>
      <c r="E30" s="23"/>
      <c r="F30" s="23"/>
      <c r="G30" s="85">
        <f t="shared" si="1"/>
        <v>8.2983879642475489E-3</v>
      </c>
      <c r="J30" s="27"/>
      <c r="P30" s="54">
        <f>AVERAGE(Q30:Q31)*EXP(-G30*deltat)</f>
        <v>0.99792755349788609</v>
      </c>
      <c r="Q30" s="55">
        <v>1</v>
      </c>
      <c r="V30" s="27"/>
      <c r="Y30" s="40"/>
      <c r="Z30" s="19"/>
      <c r="AA30" s="28"/>
    </row>
    <row r="31" spans="1:28" ht="16.5" thickBot="1" x14ac:dyDescent="0.3">
      <c r="C31" s="23"/>
      <c r="D31" s="23"/>
      <c r="E31" s="23"/>
      <c r="F31" s="23"/>
      <c r="G31" s="23"/>
      <c r="J31" s="27"/>
      <c r="Q31" s="55">
        <v>1</v>
      </c>
      <c r="V31" s="27"/>
      <c r="W31" s="8"/>
      <c r="X31" s="18" t="s">
        <v>25</v>
      </c>
      <c r="Y31" s="41" t="s">
        <v>26</v>
      </c>
      <c r="Z31" s="42" t="s">
        <v>27</v>
      </c>
      <c r="AA31" s="42" t="s">
        <v>28</v>
      </c>
      <c r="AB31" s="43" t="s">
        <v>29</v>
      </c>
    </row>
    <row r="32" spans="1:28" ht="16.5" thickBot="1" x14ac:dyDescent="0.3">
      <c r="C32" s="23"/>
      <c r="D32" s="23"/>
      <c r="E32" s="23"/>
      <c r="F32" s="23"/>
      <c r="G32" s="23"/>
      <c r="J32" s="27"/>
      <c r="V32" s="27"/>
    </row>
    <row r="33" spans="3:30" x14ac:dyDescent="0.25">
      <c r="C33" s="84" t="s">
        <v>17</v>
      </c>
      <c r="D33" s="23"/>
      <c r="E33" s="23"/>
      <c r="F33" s="23"/>
      <c r="G33" s="23"/>
      <c r="J33" s="27"/>
      <c r="V33" s="27"/>
      <c r="W33" s="24"/>
      <c r="X33" s="51">
        <f t="array" ref="X33:X37">G35:G39</f>
        <v>5.0518677944152657E-2</v>
      </c>
      <c r="Y33" s="45">
        <f>(X33-strike)*deltat*Nom</f>
        <v>69.857082520233774</v>
      </c>
      <c r="Z33" s="45">
        <f>Y33*EXP(-G26*deltat)</f>
        <v>68.985814484074766</v>
      </c>
      <c r="AA33" s="45">
        <f>MAX(X33-strike,0)*deltat*Nom</f>
        <v>69.857082520233774</v>
      </c>
      <c r="AB33" s="46">
        <f>AA33*EXP(-G26*deltat)</f>
        <v>68.985814484074766</v>
      </c>
    </row>
    <row r="34" spans="3:30" x14ac:dyDescent="0.25">
      <c r="C34" s="5">
        <v>0</v>
      </c>
      <c r="D34" s="5">
        <v>1</v>
      </c>
      <c r="E34" s="5">
        <v>2</v>
      </c>
      <c r="F34" s="5">
        <v>3</v>
      </c>
      <c r="G34" s="5">
        <v>4</v>
      </c>
      <c r="J34" s="27"/>
      <c r="L34" s="13" t="s">
        <v>4</v>
      </c>
      <c r="V34" s="27"/>
      <c r="W34" s="24"/>
      <c r="X34" s="52">
        <v>3.2138839270575481E-2</v>
      </c>
      <c r="Y34" s="47">
        <f>(X34-strike)*deltat*Nom</f>
        <v>23.907485836290832</v>
      </c>
      <c r="Z34" s="47">
        <f>Y34*EXP(-G27*deltat)</f>
        <v>23.71692720840511</v>
      </c>
      <c r="AA34" s="47">
        <f>MAX(X34-strike,0)*deltat*Nom</f>
        <v>23.907485836290832</v>
      </c>
      <c r="AB34" s="48">
        <f>AA34*EXP(-G27*deltat)</f>
        <v>23.71692720840511</v>
      </c>
    </row>
    <row r="35" spans="3:30" x14ac:dyDescent="0.25">
      <c r="C35" s="87">
        <f>(EXP(C26*deltat)-1)/deltat</f>
        <v>2.0100040984005751E-2</v>
      </c>
      <c r="D35" s="87">
        <f>(EXP(D26*deltat)-1)/deltat</f>
        <v>1.9728595313716291E-2</v>
      </c>
      <c r="E35" s="87">
        <f>(EXP(E26*deltat)-1)/deltat</f>
        <v>1.2074282012611626E-2</v>
      </c>
      <c r="F35" s="87">
        <f>(EXP(F26*deltat)-1)/deltat</f>
        <v>6.7242438216770672E-2</v>
      </c>
      <c r="G35" s="87">
        <f>(EXP(G26*deltat)-1)/deltat</f>
        <v>5.0518677944152657E-2</v>
      </c>
      <c r="J35" s="27"/>
      <c r="L35" s="5">
        <v>0</v>
      </c>
      <c r="M35" s="5">
        <v>1</v>
      </c>
      <c r="N35" s="5">
        <v>2</v>
      </c>
      <c r="O35" s="5">
        <v>3</v>
      </c>
      <c r="P35" s="5">
        <v>4</v>
      </c>
      <c r="V35" s="27"/>
      <c r="W35" s="24"/>
      <c r="X35" s="52">
        <v>2.0462904334094034E-2</v>
      </c>
      <c r="Y35" s="47">
        <f>(X35-strike)*deltat*Nom</f>
        <v>-5.2823515049127847</v>
      </c>
      <c r="Z35" s="47">
        <f>Y35*EXP(-G28*deltat)</f>
        <v>-5.2554659805151926</v>
      </c>
      <c r="AA35" s="47">
        <f>MAX(X35-strike,0)*deltat*Nom</f>
        <v>0</v>
      </c>
      <c r="AB35" s="48">
        <f>AA35*EXP(-G28*deltat)</f>
        <v>0</v>
      </c>
    </row>
    <row r="36" spans="3:30" x14ac:dyDescent="0.25">
      <c r="C36" s="86"/>
      <c r="D36" s="87">
        <f>(EXP(D27*deltat)-1)/deltat</f>
        <v>1.2568291369376539E-2</v>
      </c>
      <c r="E36" s="87">
        <f>(EXP(E27*deltat)-1)/deltat</f>
        <v>7.6946971809546127E-3</v>
      </c>
      <c r="F36" s="87">
        <f>(EXP(F27*deltat)-1)/deltat</f>
        <v>4.274606607544662E-2</v>
      </c>
      <c r="G36" s="87">
        <f>(EXP(G27*deltat)-1)/deltat</f>
        <v>3.2138839270575481E-2</v>
      </c>
      <c r="J36" s="27"/>
      <c r="L36" s="58">
        <f>AVERAGE(M36:M37)*EXP(-C26*deltat)</f>
        <v>0.98000006607889834</v>
      </c>
      <c r="M36" s="54">
        <f>AVERAGE(N36:N37)*EXP(-D26*deltat)</f>
        <v>0.98161384147839659</v>
      </c>
      <c r="N36" s="54">
        <f>AVERAGE(O36:O37)*EXP(-E26*deltat)</f>
        <v>0.98347819800192382</v>
      </c>
      <c r="O36" s="54">
        <f>AVERAGE(P36:P37)*EXP(-F26*deltat)</f>
        <v>0.98346731495891537</v>
      </c>
      <c r="P36" s="55">
        <v>1</v>
      </c>
      <c r="V36" s="27"/>
      <c r="W36" s="24"/>
      <c r="X36" s="52">
        <v>1.303565797560946E-2</v>
      </c>
      <c r="Y36" s="47">
        <f>(X36-strike)*deltat*Nom</f>
        <v>-23.85046740112422</v>
      </c>
      <c r="Z36" s="47">
        <f>Y36*EXP(-G29*deltat)</f>
        <v>-23.772993248862065</v>
      </c>
      <c r="AA36" s="47">
        <f>MAX(X36-strike,0)*deltat*Nom</f>
        <v>0</v>
      </c>
      <c r="AB36" s="48">
        <f>AA36*EXP(-G29*deltat)</f>
        <v>0</v>
      </c>
    </row>
    <row r="37" spans="3:30" ht="16.5" thickBot="1" x14ac:dyDescent="0.3">
      <c r="C37" s="86"/>
      <c r="D37" s="86"/>
      <c r="E37" s="87">
        <f>(EXP(E28*deltat)-1)/deltat</f>
        <v>4.9046469585523056E-3</v>
      </c>
      <c r="F37" s="87">
        <f>(EXP(F28*deltat)-1)/deltat</f>
        <v>2.7203575095513521E-2</v>
      </c>
      <c r="G37" s="87">
        <f>(EXP(G28*deltat)-1)/deltat</f>
        <v>2.0462904334094034E-2</v>
      </c>
      <c r="J37" s="27"/>
      <c r="L37" s="64"/>
      <c r="M37" s="54">
        <f>AVERAGE(N37:N38)*EXP(-D27*deltat)</f>
        <v>0.98823531142565713</v>
      </c>
      <c r="N37" s="54">
        <f>AVERAGE(O37:O38)*EXP(-E27*deltat)</f>
        <v>0.98943241607130439</v>
      </c>
      <c r="O37" s="54">
        <f>AVERAGE(P37:P38)*EXP(-F27*deltat)</f>
        <v>0.98942647760289759</v>
      </c>
      <c r="P37" s="55">
        <v>1</v>
      </c>
      <c r="V37" s="27"/>
      <c r="X37" s="53">
        <v>8.3070018253312838E-3</v>
      </c>
      <c r="Y37" s="50">
        <f>(X37-strike)*deltat*Nom</f>
        <v>-35.672107776819658</v>
      </c>
      <c r="Z37" s="50">
        <f>Y37*EXP(-G30*deltat)</f>
        <v>-35.598179241834558</v>
      </c>
      <c r="AA37" s="50">
        <f>MAX(X37-strike,0)*deltat*Nom</f>
        <v>0</v>
      </c>
      <c r="AB37" s="49">
        <f>AA37*EXP(-G30*deltat)</f>
        <v>0</v>
      </c>
    </row>
    <row r="38" spans="3:30" x14ac:dyDescent="0.25">
      <c r="C38" s="86"/>
      <c r="D38" s="86"/>
      <c r="E38" s="86"/>
      <c r="F38" s="87">
        <f>(EXP(F29*deltat)-1)/deltat</f>
        <v>1.7324457147056549E-2</v>
      </c>
      <c r="G38" s="87">
        <f>(EXP(G29*deltat)-1)/deltat</f>
        <v>1.303565797560946E-2</v>
      </c>
      <c r="J38" s="27"/>
      <c r="L38" s="64"/>
      <c r="M38" s="64"/>
      <c r="N38" s="54">
        <f>AVERAGE(O38:O39)*EXP(-E28*deltat)</f>
        <v>0.99324842144776204</v>
      </c>
      <c r="O38" s="54">
        <f>AVERAGE(P38:P39)*EXP(-F28*deltat)</f>
        <v>0.99324504595105589</v>
      </c>
      <c r="P38" s="55">
        <v>1</v>
      </c>
      <c r="V38" s="27"/>
    </row>
    <row r="39" spans="3:30" x14ac:dyDescent="0.25">
      <c r="C39" s="23"/>
      <c r="D39" s="23"/>
      <c r="E39" s="23"/>
      <c r="F39" s="23"/>
      <c r="G39" s="87">
        <f>(EXP(G30*deltat)-1)/deltat</f>
        <v>8.3070018253312838E-3</v>
      </c>
      <c r="J39" s="27"/>
      <c r="L39" s="64"/>
      <c r="M39" s="64"/>
      <c r="N39" s="64"/>
      <c r="O39" s="54">
        <f>AVERAGE(P39:P40)*EXP(-F29*deltat)</f>
        <v>0.99568756336913855</v>
      </c>
      <c r="P39" s="55">
        <v>1</v>
      </c>
      <c r="V39" s="27"/>
      <c r="X39" s="1" t="s">
        <v>33</v>
      </c>
    </row>
    <row r="40" spans="3:30" x14ac:dyDescent="0.25">
      <c r="J40" s="27"/>
      <c r="L40" s="64"/>
      <c r="M40" s="64"/>
      <c r="N40" s="64"/>
      <c r="O40" s="64"/>
      <c r="P40" s="55">
        <v>1</v>
      </c>
      <c r="V40" s="27"/>
      <c r="X40" s="5">
        <v>0</v>
      </c>
      <c r="Y40" s="5">
        <v>1</v>
      </c>
      <c r="Z40" s="5">
        <v>2</v>
      </c>
      <c r="AA40" s="5">
        <v>3</v>
      </c>
      <c r="AB40" s="5">
        <v>4</v>
      </c>
    </row>
    <row r="41" spans="3:30" x14ac:dyDescent="0.25">
      <c r="J41" s="27"/>
      <c r="V41" s="27"/>
      <c r="W41" s="20"/>
      <c r="X41" s="58">
        <f>AVERAGE(Y41:Y42)*EXP(-C26*deltat)</f>
        <v>6.5873294004993296E-2</v>
      </c>
      <c r="Y41" s="54">
        <f>AVERAGE(Z41:Z42)*EXP(-D26*deltat)</f>
        <v>12.416504927957384</v>
      </c>
      <c r="Z41" s="54">
        <f>AVERAGE(AA41:AA42)*EXP(-E26*deltat)</f>
        <v>27.577402998816488</v>
      </c>
      <c r="AA41" s="54">
        <f>AVERAGE(AB41:AB42)*EXP(-F26*deltat)</f>
        <v>46.107194139936468</v>
      </c>
      <c r="AB41" s="55">
        <f t="array" ref="AB41:AB45">Y33:Y37</f>
        <v>69.857082520233774</v>
      </c>
    </row>
    <row r="42" spans="3:30" x14ac:dyDescent="0.25">
      <c r="J42" s="27"/>
      <c r="V42" s="27"/>
      <c r="Y42" s="54">
        <f>AVERAGE(Z42:Z43)*EXP(-D27*deltat)</f>
        <v>-12.284096311992771</v>
      </c>
      <c r="Z42" s="54">
        <f>AVERAGE(AA42:AA43)*EXP(-E27*deltat)</f>
        <v>-2.6219130424345023</v>
      </c>
      <c r="AA42" s="54">
        <f>AVERAGE(AB42:AB43)*EXP(-F27*deltat)</f>
        <v>9.214100528188089</v>
      </c>
      <c r="AB42" s="55">
        <v>23.907485836290832</v>
      </c>
    </row>
    <row r="43" spans="3:30" x14ac:dyDescent="0.25">
      <c r="J43" s="27"/>
      <c r="L43" s="13" t="s">
        <v>5</v>
      </c>
      <c r="V43" s="27"/>
      <c r="Z43" s="54">
        <f>AVERAGE(AA43:AA44)*EXP(-E28*deltat)</f>
        <v>-22.023474632380342</v>
      </c>
      <c r="AA43" s="54">
        <f>AVERAGE(AB43:AB44)*EXP(-F28*deltat)</f>
        <v>-14.468014026505259</v>
      </c>
      <c r="AB43" s="55">
        <v>-5.2823515049127847</v>
      </c>
    </row>
    <row r="44" spans="3:30" x14ac:dyDescent="0.25">
      <c r="J44" s="27"/>
      <c r="L44" s="5">
        <v>0</v>
      </c>
      <c r="M44" s="5">
        <v>1</v>
      </c>
      <c r="N44" s="5">
        <v>2</v>
      </c>
      <c r="O44" s="5">
        <v>3</v>
      </c>
      <c r="V44" s="27"/>
      <c r="AA44" s="54">
        <f>AVERAGE(AB44:AB45)*EXP(-F29*deltat)</f>
        <v>-29.632943922191654</v>
      </c>
      <c r="AB44" s="55">
        <v>-23.85046740112422</v>
      </c>
    </row>
    <row r="45" spans="3:30" x14ac:dyDescent="0.25">
      <c r="J45" s="27"/>
      <c r="L45" s="65">
        <f>AVERAGE(M45:M46)*EXP(-C26*deltat)</f>
        <v>0.98900016123614842</v>
      </c>
      <c r="M45" s="56">
        <f>AVERAGE(N45:N46)*EXP(-D26*deltat)</f>
        <v>0.99263942112485282</v>
      </c>
      <c r="N45" s="56">
        <f>AVERAGE(O45:O46)*EXP(-E26*deltat)</f>
        <v>0.9969905138429902</v>
      </c>
      <c r="O45" s="57">
        <v>1</v>
      </c>
      <c r="V45" s="27"/>
      <c r="AB45" s="55">
        <v>-35.672107776819658</v>
      </c>
    </row>
    <row r="46" spans="3:30" x14ac:dyDescent="0.25">
      <c r="J46" s="27"/>
      <c r="L46" s="66"/>
      <c r="M46" s="56">
        <f>AVERAGE(N46:N47)*EXP(-D27*deltat)</f>
        <v>0.99530037323446163</v>
      </c>
      <c r="N46" s="56">
        <f>AVERAGE(O46:O47)*EXP(-E27*deltat)</f>
        <v>0.99808001912262245</v>
      </c>
      <c r="O46" s="57">
        <v>1</v>
      </c>
      <c r="V46" s="27"/>
      <c r="X46" s="25"/>
    </row>
    <row r="47" spans="3:30" x14ac:dyDescent="0.25">
      <c r="J47" s="27"/>
      <c r="L47" s="66"/>
      <c r="M47" s="66"/>
      <c r="N47" s="56">
        <f>AVERAGE(O47:O48)*EXP(-E28*deltat)</f>
        <v>0.99877533989173073</v>
      </c>
      <c r="O47" s="57">
        <v>1</v>
      </c>
      <c r="V47" s="27"/>
      <c r="X47" s="1" t="s">
        <v>32</v>
      </c>
    </row>
    <row r="48" spans="3:30" x14ac:dyDescent="0.25">
      <c r="J48" s="27"/>
      <c r="L48" s="66"/>
      <c r="M48" s="66"/>
      <c r="N48" s="66"/>
      <c r="O48" s="57">
        <v>1</v>
      </c>
      <c r="V48" s="27"/>
      <c r="X48" s="5">
        <v>0</v>
      </c>
      <c r="Y48" s="5">
        <v>1</v>
      </c>
      <c r="Z48" s="5">
        <v>2</v>
      </c>
      <c r="AA48" s="5">
        <v>3</v>
      </c>
      <c r="AB48" s="5">
        <v>4</v>
      </c>
      <c r="AD48" s="1" t="s">
        <v>37</v>
      </c>
    </row>
    <row r="49" spans="10:37" x14ac:dyDescent="0.25">
      <c r="J49" s="27"/>
      <c r="V49" s="27"/>
      <c r="X49" s="58">
        <f>AVERAGE(Y49:Y50)*EXP(-C26*deltat)</f>
        <v>0</v>
      </c>
      <c r="Y49" s="54">
        <f>AVERAGE(Z49:Z50)*EXP(-D26*deltat)</f>
        <v>12.259683383377114</v>
      </c>
      <c r="Z49" s="54">
        <f>AVERAGE(AA49:AA50)*EXP(-E26*deltat)</f>
        <v>27.276756940015865</v>
      </c>
      <c r="AA49" s="56">
        <f>AVERAGE(AB49:AB50)*EXP(-F26*deltat)</f>
        <v>45.585058230816543</v>
      </c>
      <c r="AB49" s="55">
        <f t="array" ref="AB49:AB53">Z33:Z37</f>
        <v>68.985814484074766</v>
      </c>
      <c r="AD49" s="59">
        <f>X49*100000000000</f>
        <v>0</v>
      </c>
    </row>
    <row r="50" spans="10:37" x14ac:dyDescent="0.25">
      <c r="J50" s="27"/>
      <c r="V50" s="27"/>
      <c r="Y50" s="54">
        <f>AVERAGE(Z50:Z51)*EXP(-D27*deltat)</f>
        <v>-12.25968338337711</v>
      </c>
      <c r="Z50" s="54">
        <f>AVERAGE(AA50:AA51)*EXP(-E27*deltat)</f>
        <v>-2.6364570071891644</v>
      </c>
      <c r="AA50" s="54">
        <f>AVERAGE(AB50:AB51)*EXP(-F27*deltat)</f>
        <v>9.133129277056792</v>
      </c>
      <c r="AB50" s="55">
        <v>23.71692720840511</v>
      </c>
      <c r="AD50" s="1" t="s">
        <v>38</v>
      </c>
    </row>
    <row r="51" spans="10:37" x14ac:dyDescent="0.25">
      <c r="J51" s="27"/>
      <c r="L51" s="13" t="s">
        <v>6</v>
      </c>
      <c r="V51" s="27"/>
      <c r="Z51" s="54">
        <f>AVERAGE(AA51:AA52)*EXP(-E28*deltat)</f>
        <v>-21.959951395994349</v>
      </c>
      <c r="AA51" s="54">
        <f>AVERAGE(AB51:AB52)*EXP(-F28*deltat)</f>
        <v>-14.416186660585584</v>
      </c>
      <c r="AB51" s="55">
        <v>-5.2554659805151926</v>
      </c>
      <c r="AD51" s="4">
        <f>(Q14/Q15-1)/deltat</f>
        <v>2.2575844936059575E-2</v>
      </c>
    </row>
    <row r="52" spans="10:37" x14ac:dyDescent="0.25">
      <c r="J52" s="27"/>
      <c r="L52" s="5">
        <v>0</v>
      </c>
      <c r="M52" s="5">
        <v>1</v>
      </c>
      <c r="N52" s="5">
        <v>2</v>
      </c>
      <c r="V52" s="27"/>
      <c r="AA52" s="54">
        <f>AVERAGE(AB52:AB53)*EXP(-F29*deltat)</f>
        <v>-29.557569035815273</v>
      </c>
      <c r="AB52" s="55">
        <v>-23.772993248862065</v>
      </c>
    </row>
    <row r="53" spans="10:37" x14ac:dyDescent="0.25">
      <c r="J53" s="27"/>
      <c r="L53" s="65">
        <f>AVERAGE(M53:M54)*EXP(-C26*deltat)</f>
        <v>0.9910001275695014</v>
      </c>
      <c r="M53" s="56">
        <f>AVERAGE(N53:N54)*EXP(-D26*deltat)</f>
        <v>0.99509205787258459</v>
      </c>
      <c r="N53" s="57">
        <v>1</v>
      </c>
      <c r="V53" s="27"/>
      <c r="AB53" s="55">
        <v>-35.598179241834558</v>
      </c>
    </row>
    <row r="54" spans="10:37" x14ac:dyDescent="0.25">
      <c r="J54" s="27"/>
      <c r="L54" s="66"/>
      <c r="M54" s="56">
        <f>AVERAGE(N54:N55)*EXP(-D27*deltat)</f>
        <v>0.9968677688560692</v>
      </c>
      <c r="N54" s="57">
        <v>1</v>
      </c>
      <c r="V54" s="27"/>
      <c r="X54" s="25"/>
    </row>
    <row r="55" spans="10:37" x14ac:dyDescent="0.25">
      <c r="J55" s="27"/>
      <c r="L55" s="66"/>
      <c r="M55" s="66"/>
      <c r="N55" s="57">
        <v>1</v>
      </c>
      <c r="V55" s="27"/>
      <c r="X55" s="1" t="s">
        <v>34</v>
      </c>
      <c r="AD55" s="12" t="s">
        <v>51</v>
      </c>
    </row>
    <row r="56" spans="10:37" x14ac:dyDescent="0.25">
      <c r="J56" s="27"/>
      <c r="V56" s="27"/>
      <c r="X56" s="5">
        <v>0</v>
      </c>
      <c r="Y56" s="5">
        <v>1</v>
      </c>
      <c r="Z56" s="5">
        <v>2</v>
      </c>
      <c r="AA56" s="5">
        <v>3</v>
      </c>
      <c r="AB56" s="5">
        <v>4</v>
      </c>
    </row>
    <row r="57" spans="10:37" x14ac:dyDescent="0.25">
      <c r="J57" s="27"/>
      <c r="V57" s="27"/>
      <c r="X57" s="58">
        <f>AVERAGE(Y57:Y58)*EXP(-C26*deltat)</f>
        <v>10.07326655416573</v>
      </c>
      <c r="Y57" s="54">
        <f>AVERAGE(Z57:Z58)*EXP(-D26*deltat)</f>
        <v>17.305852993951163</v>
      </c>
      <c r="Z57" s="54">
        <f>AVERAGE(AA57:AA58)*EXP(-E26*deltat)</f>
        <v>28.88009534087961</v>
      </c>
      <c r="AA57" s="54">
        <f>AVERAGE(AB57:AB58)*EXP(-F26*deltat)</f>
        <v>46.107194139936468</v>
      </c>
      <c r="AB57" s="55">
        <f t="array" ref="AB57:AB61">AA33:AA37</f>
        <v>69.857082520233774</v>
      </c>
      <c r="AD57" s="1" t="s">
        <v>46</v>
      </c>
    </row>
    <row r="58" spans="10:37" x14ac:dyDescent="0.25">
      <c r="J58" s="27"/>
      <c r="V58" s="27"/>
      <c r="Y58" s="54">
        <f>AVERAGE(Z58:Z59)*EXP(-D27*deltat)</f>
        <v>2.9419166496710725</v>
      </c>
      <c r="Z58" s="54">
        <f>AVERAGE(AA58:AA59)*EXP(-E27*deltat)</f>
        <v>5.9023207321608879</v>
      </c>
      <c r="AA58" s="54">
        <f>AVERAGE(AB58:AB59)*EXP(-F27*deltat)</f>
        <v>11.827349749671201</v>
      </c>
      <c r="AB58" s="55">
        <v>23.907485836290832</v>
      </c>
      <c r="AD58" s="1" t="s">
        <v>47</v>
      </c>
    </row>
    <row r="59" spans="10:37" x14ac:dyDescent="0.25">
      <c r="J59" s="27"/>
      <c r="L59" s="13" t="s">
        <v>7</v>
      </c>
      <c r="V59" s="27"/>
      <c r="Z59" s="54">
        <f>AVERAGE(AA59:AA60)*EXP(-E28*deltat)</f>
        <v>0</v>
      </c>
      <c r="AA59" s="54">
        <f>AVERAGE(AB59:AB60)*EXP(-F28*deltat)</f>
        <v>0</v>
      </c>
      <c r="AB59" s="55">
        <v>0</v>
      </c>
    </row>
    <row r="60" spans="10:37" ht="16.5" thickBot="1" x14ac:dyDescent="0.3">
      <c r="J60" s="27"/>
      <c r="L60" s="5">
        <v>0</v>
      </c>
      <c r="M60" s="5">
        <v>1</v>
      </c>
      <c r="V60" s="27"/>
      <c r="AA60" s="54">
        <f>AVERAGE(AB60:AB61)*EXP(-F29*deltat)</f>
        <v>0</v>
      </c>
      <c r="AB60" s="55">
        <v>0</v>
      </c>
      <c r="AD60" s="1" t="s">
        <v>39</v>
      </c>
      <c r="AG60" s="1" t="s">
        <v>40</v>
      </c>
      <c r="AJ60" s="1" t="s">
        <v>49</v>
      </c>
    </row>
    <row r="61" spans="10:37" ht="16.5" thickBot="1" x14ac:dyDescent="0.3">
      <c r="J61" s="27"/>
      <c r="L61" s="67">
        <f>AVERAGE(M61:M62)*EXP(-C26*deltat)</f>
        <v>0.99500011423121548</v>
      </c>
      <c r="M61" s="68">
        <v>1</v>
      </c>
      <c r="V61" s="27"/>
      <c r="AB61" s="55">
        <v>0</v>
      </c>
      <c r="AD61" s="60"/>
      <c r="AE61" s="63">
        <f>AB49</f>
        <v>68.985814484074766</v>
      </c>
      <c r="AG61" s="70">
        <f>O36</f>
        <v>0.98346731495891537</v>
      </c>
      <c r="AH61" s="63">
        <f>P36</f>
        <v>1</v>
      </c>
      <c r="AJ61" s="70">
        <f>O26</f>
        <v>0.97341489321392172</v>
      </c>
      <c r="AK61" s="63">
        <f>P26</f>
        <v>0.98752784965065432</v>
      </c>
    </row>
    <row r="62" spans="10:37" ht="16.5" thickBot="1" x14ac:dyDescent="0.3">
      <c r="J62" s="27"/>
      <c r="L62" s="69"/>
      <c r="M62" s="68">
        <v>1</v>
      </c>
      <c r="V62" s="27"/>
      <c r="X62" s="25"/>
      <c r="AE62" s="70">
        <f>AB50</f>
        <v>23.71692720840511</v>
      </c>
      <c r="AH62" s="70">
        <f>P37</f>
        <v>1</v>
      </c>
      <c r="AK62" s="70">
        <f>P27</f>
        <v>0.99202933218529998</v>
      </c>
    </row>
    <row r="63" spans="10:37" x14ac:dyDescent="0.25">
      <c r="J63" s="27"/>
      <c r="V63" s="27"/>
      <c r="X63" s="1" t="s">
        <v>35</v>
      </c>
    </row>
    <row r="64" spans="10:37" ht="16.5" thickBot="1" x14ac:dyDescent="0.3">
      <c r="J64" s="27"/>
      <c r="V64" s="27"/>
      <c r="X64" s="5">
        <v>0</v>
      </c>
      <c r="Y64" s="5">
        <v>1</v>
      </c>
      <c r="Z64" s="5">
        <v>2</v>
      </c>
      <c r="AA64" s="5">
        <v>3</v>
      </c>
      <c r="AB64" s="5">
        <v>4</v>
      </c>
    </row>
    <row r="65" spans="1:37" x14ac:dyDescent="0.25">
      <c r="J65" s="27"/>
      <c r="V65" s="27"/>
      <c r="X65" s="58">
        <f>AVERAGE(Y65:Y66)*EXP(-C26*deltat)</f>
        <v>9.9738956726294941</v>
      </c>
      <c r="Y65" s="54">
        <f>AVERAGE(Z65:Z66)*EXP(-D26*deltat)</f>
        <v>17.129561591836008</v>
      </c>
      <c r="Z65" s="54">
        <f>AVERAGE(AA65:AA66)*EXP(-E26*deltat)</f>
        <v>28.572818983676363</v>
      </c>
      <c r="AA65" s="54">
        <f>AVERAGE(AB65:AB66)*EXP(-F26*deltat)</f>
        <v>45.585058230816543</v>
      </c>
      <c r="AB65" s="55">
        <f t="array" ref="AB65:AB69">AB33:AB37</f>
        <v>68.985814484074766</v>
      </c>
      <c r="AD65" s="1" t="s">
        <v>42</v>
      </c>
      <c r="AF65" s="1" t="s">
        <v>41</v>
      </c>
      <c r="AG65" s="61">
        <v>9999.8258173804643</v>
      </c>
    </row>
    <row r="66" spans="1:37" ht="16.5" thickBot="1" x14ac:dyDescent="0.3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Y66" s="54">
        <f>AVERAGE(Z66:Z67)*EXP(-D27*deltat)</f>
        <v>2.9184676093180091</v>
      </c>
      <c r="Z66" s="54">
        <f>AVERAGE(AA66:AA67)*EXP(-E27*deltat)</f>
        <v>5.8552752942690161</v>
      </c>
      <c r="AA66" s="54">
        <f>AVERAGE(AB66:AB67)*EXP(-F27*deltat)</f>
        <v>11.733077873688295</v>
      </c>
      <c r="AB66" s="55">
        <v>23.71692720840511</v>
      </c>
      <c r="AD66" s="1" t="s">
        <v>50</v>
      </c>
      <c r="AF66" s="1" t="s">
        <v>43</v>
      </c>
      <c r="AG66" s="62">
        <v>-10056.263631392192</v>
      </c>
    </row>
    <row r="67" spans="1:37" ht="16.5" thickBot="1" x14ac:dyDescent="0.3">
      <c r="I67" s="10"/>
      <c r="J67" s="10"/>
      <c r="K67" s="10"/>
      <c r="Z67" s="54">
        <f>AVERAGE(AA67:AA68)*EXP(-E28*deltat)</f>
        <v>0</v>
      </c>
      <c r="AA67" s="54">
        <f>AVERAGE(AB67:AB68)*EXP(-F28*deltat)</f>
        <v>0</v>
      </c>
      <c r="AB67" s="55">
        <v>0</v>
      </c>
      <c r="AJ67" s="1" t="s">
        <v>19</v>
      </c>
    </row>
    <row r="68" spans="1:37" ht="16.5" thickBot="1" x14ac:dyDescent="0.3">
      <c r="W68" s="20"/>
      <c r="AA68" s="54">
        <f>AVERAGE(AB68:AB69)*EXP(-F29*deltat)</f>
        <v>0</v>
      </c>
      <c r="AB68" s="55">
        <v>0</v>
      </c>
      <c r="AF68" s="10" t="s">
        <v>44</v>
      </c>
      <c r="AG68" s="63">
        <f>AG65*AH61+AG66*AK61</f>
        <v>68.985417951653289</v>
      </c>
      <c r="AJ68" s="1">
        <f>(AG68-AE61)^2</f>
        <v>1.5723796128168455E-7</v>
      </c>
    </row>
    <row r="69" spans="1:37" ht="16.5" thickBot="1" x14ac:dyDescent="0.3">
      <c r="AB69" s="55">
        <v>0</v>
      </c>
      <c r="AG69" s="70">
        <f>AG65*AH62+AG66*AK62</f>
        <v>23.717322851147401</v>
      </c>
      <c r="AJ69" s="1">
        <f>(AG69-AE62)^2</f>
        <v>1.5653317952726348E-7</v>
      </c>
      <c r="AK69" s="1">
        <f>SUM(AJ68:AJ69)*10000000000</f>
        <v>3137.7114080894798</v>
      </c>
    </row>
    <row r="70" spans="1:37" x14ac:dyDescent="0.25">
      <c r="Y70" s="20"/>
      <c r="Z70" s="6"/>
    </row>
    <row r="71" spans="1:37" ht="16.5" thickBot="1" x14ac:dyDescent="0.3">
      <c r="Z71" s="6"/>
    </row>
    <row r="72" spans="1:37" ht="16.5" thickBot="1" x14ac:dyDescent="0.3">
      <c r="AD72" s="1" t="s">
        <v>45</v>
      </c>
      <c r="AG72" s="71">
        <f>AG65*AG61+AG66*AJ61</f>
        <v>45.585057793330634</v>
      </c>
    </row>
    <row r="76" spans="1:37" x14ac:dyDescent="0.25">
      <c r="W76" s="20"/>
      <c r="X76" s="20"/>
      <c r="Y76" s="20"/>
      <c r="Z76" s="19"/>
      <c r="AB76" s="19"/>
    </row>
    <row r="77" spans="1:37" x14ac:dyDescent="0.25">
      <c r="X77" s="20"/>
      <c r="Y77" s="20"/>
      <c r="Z77" s="6"/>
    </row>
    <row r="78" spans="1:37" x14ac:dyDescent="0.25">
      <c r="B78" s="19"/>
      <c r="C78" s="19"/>
      <c r="E78" s="19"/>
      <c r="F78" s="19"/>
      <c r="G78" s="19"/>
      <c r="H78" s="19"/>
      <c r="L78" s="19"/>
      <c r="M78" s="19"/>
      <c r="Y78" s="20"/>
      <c r="Z78" s="6"/>
    </row>
    <row r="79" spans="1:37" x14ac:dyDescent="0.25">
      <c r="C79" s="19"/>
      <c r="F79" s="19"/>
      <c r="G79" s="19"/>
      <c r="H79" s="19"/>
      <c r="M79" s="19"/>
      <c r="Z79" s="6"/>
    </row>
    <row r="84" spans="4:26" x14ac:dyDescent="0.25">
      <c r="W84" s="20"/>
      <c r="X84" s="20"/>
      <c r="Y84" s="20"/>
      <c r="Z84" s="19"/>
    </row>
    <row r="85" spans="4:26" x14ac:dyDescent="0.25">
      <c r="D85" s="10"/>
      <c r="X85" s="20"/>
      <c r="Y85" s="20"/>
      <c r="Z85" s="6"/>
    </row>
    <row r="86" spans="4:26" x14ac:dyDescent="0.25">
      <c r="Y86" s="20"/>
      <c r="Z86" s="6"/>
    </row>
    <row r="87" spans="4:26" x14ac:dyDescent="0.25">
      <c r="Z87" s="6"/>
    </row>
    <row r="88" spans="4:26" x14ac:dyDescent="0.25">
      <c r="F88" s="26"/>
      <c r="G88" s="26"/>
      <c r="H88" s="26"/>
    </row>
  </sheetData>
  <mergeCells count="5">
    <mergeCell ref="P6:R6"/>
    <mergeCell ref="L7:L9"/>
    <mergeCell ref="M7:M9"/>
    <mergeCell ref="N7:N9"/>
    <mergeCell ref="B12:B13"/>
  </mergeCells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Sheet1</vt:lpstr>
      <vt:lpstr>Sheet2</vt:lpstr>
      <vt:lpstr>Sheet2!deltat</vt:lpstr>
      <vt:lpstr>deltat</vt:lpstr>
      <vt:lpstr>Sheet2!Nom</vt:lpstr>
      <vt:lpstr>Nom</vt:lpstr>
      <vt:lpstr>Sheet2!strike</vt:lpstr>
      <vt:lpstr>strike</vt:lpstr>
      <vt:lpstr>Sheet2!vola</vt:lpstr>
      <vt:lpstr>vola</vt:lpstr>
    </vt:vector>
  </TitlesOfParts>
  <Company>TIF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Maria Contreras</dc:creator>
  <cp:lastModifiedBy>José María Contreras Beltrán</cp:lastModifiedBy>
  <dcterms:created xsi:type="dcterms:W3CDTF">2006-12-20T17:38:31Z</dcterms:created>
  <dcterms:modified xsi:type="dcterms:W3CDTF">2025-09-14T18:51:06Z</dcterms:modified>
</cp:coreProperties>
</file>