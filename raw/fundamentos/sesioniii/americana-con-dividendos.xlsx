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FORMACION\MASTERS CUANTITATIVOS\MEFC 2025\Valoración\Chema\Sesión III\Ejercicios\"/>
    </mc:Choice>
  </mc:AlternateContent>
  <xr:revisionPtr revIDLastSave="0" documentId="13_ncr:1_{9CEF509F-47FB-414F-AC93-AEF6E470A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Hoja2" sheetId="3" state="hidden" r:id="rId2"/>
  </sheets>
  <definedNames>
    <definedName name="d" localSheetId="1">Hoja2!$C$15</definedName>
    <definedName name="d">Hoja1!$C$15</definedName>
    <definedName name="Deltat" localSheetId="1">Hoja2!$C$9</definedName>
    <definedName name="Deltat">Hoja1!$C$9</definedName>
    <definedName name="Descuento" localSheetId="1">Hoja2!$C$10</definedName>
    <definedName name="Descuento">Hoja1!$C$10</definedName>
    <definedName name="dividendo1" localSheetId="1">Hoja2!$F$6</definedName>
    <definedName name="dividendo1">Hoja1!$F$6</definedName>
    <definedName name="dividendo2" localSheetId="1">Hoja2!$H$6</definedName>
    <definedName name="dividendo2">Hoja1!$H$6</definedName>
    <definedName name="p" localSheetId="1">Hoja2!$C$13</definedName>
    <definedName name="p">Hoja1!$C$13</definedName>
    <definedName name="probs" localSheetId="1">Hoja2!$P$20:$P$32</definedName>
    <definedName name="probs">Hoja1!$P$20:$P$32</definedName>
    <definedName name="S0" localSheetId="1">Hoja2!$C$6</definedName>
    <definedName name="S0">Hoja1!$C$6</definedName>
    <definedName name="solver_adj" localSheetId="0" hidden="1">Hoja1!#REF!</definedName>
    <definedName name="solver_adj" localSheetId="1" hidden="1">Hoja2!#REF!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st" localSheetId="0" hidden="1">1</definedName>
    <definedName name="solver_est" localSheetId="1" hidden="1">1</definedName>
    <definedName name="solver_itr" localSheetId="0" hidden="1">100</definedName>
    <definedName name="solver_itr" localSheetId="1" hidden="1">100</definedName>
    <definedName name="solver_lin" localSheetId="0" hidden="1">2</definedName>
    <definedName name="solver_lin" localSheetId="1" hidden="1">2</definedName>
    <definedName name="solver_neg" localSheetId="0" hidden="1">2</definedName>
    <definedName name="solver_neg" localSheetId="1" hidden="1">2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Hoja1!$F$10</definedName>
    <definedName name="solver_opt" localSheetId="1" hidden="1">Hoja2!$F$10</definedName>
    <definedName name="solver_pre" localSheetId="0" hidden="1">0.000001</definedName>
    <definedName name="solver_pre" localSheetId="1" hidden="1">0.000001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trike" localSheetId="1">Hoja2!$C$93</definedName>
    <definedName name="strike">Hoja1!$C$93</definedName>
    <definedName name="Tiempo1" localSheetId="1">Hoja2!$F$5</definedName>
    <definedName name="Tiempo1">Hoja1!$F$5</definedName>
    <definedName name="Tiempo2" localSheetId="1">Hoja2!$H$5</definedName>
    <definedName name="Tiempo2">Hoja1!$H$5</definedName>
    <definedName name="tipo" localSheetId="1">Hoja2!$C$4</definedName>
    <definedName name="tipo">Hoja1!$C$4</definedName>
    <definedName name="u" localSheetId="1">Hoja2!$C$14</definedName>
    <definedName name="u">Hoja1!$C$14</definedName>
    <definedName name="vola" localSheetId="1">Hoja2!$C$5</definedName>
    <definedName name="vola">Hoja1!$C$5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3" l="1"/>
  <c r="C113" i="3"/>
  <c r="N87" i="3"/>
  <c r="N81" i="3"/>
  <c r="N82" i="3" s="1"/>
  <c r="M81" i="3"/>
  <c r="M82" i="3" s="1"/>
  <c r="L81" i="3"/>
  <c r="L82" i="3" s="1"/>
  <c r="K81" i="3"/>
  <c r="K82" i="3" s="1"/>
  <c r="J81" i="3"/>
  <c r="J82" i="3" s="1"/>
  <c r="I81" i="3"/>
  <c r="I82" i="3" s="1"/>
  <c r="H81" i="3"/>
  <c r="H82" i="3" s="1"/>
  <c r="G81" i="3"/>
  <c r="G82" i="3" s="1"/>
  <c r="F81" i="3"/>
  <c r="E81" i="3"/>
  <c r="E82" i="3" s="1"/>
  <c r="D81" i="3"/>
  <c r="D82" i="3" s="1"/>
  <c r="C81" i="3"/>
  <c r="N40" i="3"/>
  <c r="M40" i="3"/>
  <c r="M87" i="3" s="1"/>
  <c r="L40" i="3"/>
  <c r="L87" i="3" s="1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C9" i="3"/>
  <c r="C10" i="3" s="1"/>
  <c r="D81" i="2"/>
  <c r="D82" i="2" s="1"/>
  <c r="E81" i="2"/>
  <c r="E82" i="2" s="1"/>
  <c r="F81" i="2"/>
  <c r="F82" i="2" s="1"/>
  <c r="G81" i="2"/>
  <c r="G82" i="2" s="1"/>
  <c r="H81" i="2"/>
  <c r="H82" i="2" s="1"/>
  <c r="I81" i="2"/>
  <c r="I82" i="2" s="1"/>
  <c r="J81" i="2"/>
  <c r="J82" i="2" s="1"/>
  <c r="K81" i="2"/>
  <c r="K82" i="2" s="1"/>
  <c r="L81" i="2"/>
  <c r="L82" i="2" s="1"/>
  <c r="M81" i="2"/>
  <c r="M82" i="2" s="1"/>
  <c r="N81" i="2"/>
  <c r="N82" i="2" s="1"/>
  <c r="C81" i="2"/>
  <c r="C83" i="2" s="1"/>
  <c r="N83" i="3" l="1"/>
  <c r="F82" i="3"/>
  <c r="M83" i="3"/>
  <c r="E64" i="3"/>
  <c r="L46" i="3"/>
  <c r="I40" i="3"/>
  <c r="I87" i="3" s="1"/>
  <c r="F39" i="3"/>
  <c r="H19" i="3"/>
  <c r="D64" i="3"/>
  <c r="K46" i="3"/>
  <c r="H40" i="3"/>
  <c r="H87" i="3" s="1"/>
  <c r="E39" i="3"/>
  <c r="M64" i="3"/>
  <c r="D46" i="3"/>
  <c r="L39" i="3"/>
  <c r="C19" i="3"/>
  <c r="L64" i="3"/>
  <c r="C46" i="3"/>
  <c r="K39" i="3"/>
  <c r="B19" i="3"/>
  <c r="K64" i="3"/>
  <c r="B46" i="3"/>
  <c r="J39" i="3"/>
  <c r="J64" i="3"/>
  <c r="I39" i="3"/>
  <c r="F40" i="3"/>
  <c r="F87" i="3" s="1"/>
  <c r="N19" i="3"/>
  <c r="E40" i="3"/>
  <c r="E87" i="3" s="1"/>
  <c r="M19" i="3"/>
  <c r="N46" i="3"/>
  <c r="D40" i="3"/>
  <c r="D87" i="3" s="1"/>
  <c r="L19" i="3"/>
  <c r="M46" i="3"/>
  <c r="C40" i="3"/>
  <c r="C87" i="3" s="1"/>
  <c r="K19" i="3"/>
  <c r="J46" i="3"/>
  <c r="B40" i="3"/>
  <c r="J19" i="3"/>
  <c r="N64" i="3"/>
  <c r="I46" i="3"/>
  <c r="N39" i="3"/>
  <c r="I19" i="3"/>
  <c r="I64" i="3"/>
  <c r="H46" i="3"/>
  <c r="M39" i="3"/>
  <c r="G19" i="3"/>
  <c r="H64" i="3"/>
  <c r="G46" i="3"/>
  <c r="H39" i="3"/>
  <c r="F19" i="3"/>
  <c r="G64" i="3"/>
  <c r="F46" i="3"/>
  <c r="G39" i="3"/>
  <c r="E19" i="3"/>
  <c r="F64" i="3"/>
  <c r="E46" i="3"/>
  <c r="D39" i="3"/>
  <c r="D19" i="3"/>
  <c r="C64" i="3"/>
  <c r="C39" i="3"/>
  <c r="C15" i="3"/>
  <c r="B64" i="3"/>
  <c r="B39" i="3"/>
  <c r="C14" i="3"/>
  <c r="G40" i="3"/>
  <c r="G87" i="3" s="1"/>
  <c r="J40" i="3"/>
  <c r="J87" i="3" s="1"/>
  <c r="K40" i="3"/>
  <c r="K87" i="3" s="1"/>
  <c r="E83" i="3"/>
  <c r="D83" i="3"/>
  <c r="K83" i="3"/>
  <c r="J83" i="3"/>
  <c r="I83" i="3"/>
  <c r="C82" i="3"/>
  <c r="H83" i="3"/>
  <c r="C83" i="3"/>
  <c r="F83" i="3"/>
  <c r="G83" i="3"/>
  <c r="L83" i="3"/>
  <c r="C82" i="2"/>
  <c r="K83" i="2"/>
  <c r="G83" i="2"/>
  <c r="N83" i="2"/>
  <c r="J83" i="2"/>
  <c r="F83" i="2"/>
  <c r="M83" i="2"/>
  <c r="I83" i="2"/>
  <c r="E83" i="2"/>
  <c r="L83" i="2"/>
  <c r="H83" i="2"/>
  <c r="D83" i="2"/>
  <c r="C134" i="2"/>
  <c r="C113" i="2"/>
  <c r="B87" i="3" l="1"/>
  <c r="B20" i="3"/>
  <c r="N87" i="2"/>
  <c r="M87" i="2"/>
  <c r="L87" i="2"/>
  <c r="P20" i="2"/>
  <c r="C9" i="2"/>
  <c r="P30" i="2"/>
  <c r="P26" i="2"/>
  <c r="P22" i="2"/>
  <c r="P31" i="2"/>
  <c r="P27" i="2"/>
  <c r="P23" i="2"/>
  <c r="P28" i="2"/>
  <c r="P24" i="2"/>
  <c r="P29" i="2"/>
  <c r="P25" i="2"/>
  <c r="P21" i="2"/>
  <c r="P32" i="2"/>
  <c r="B47" i="3" l="1"/>
  <c r="B65" i="3"/>
  <c r="B86" i="3" s="1"/>
  <c r="C21" i="3"/>
  <c r="B84" i="3"/>
  <c r="C20" i="3"/>
  <c r="J87" i="2"/>
  <c r="G87" i="2"/>
  <c r="D87" i="2"/>
  <c r="E87" i="2"/>
  <c r="I87" i="2"/>
  <c r="C87" i="2"/>
  <c r="K87" i="2"/>
  <c r="H87" i="2"/>
  <c r="F87" i="2"/>
  <c r="C14" i="2"/>
  <c r="C19" i="2"/>
  <c r="E19" i="2"/>
  <c r="G19" i="2"/>
  <c r="I19" i="2"/>
  <c r="K19" i="2"/>
  <c r="M19" i="2"/>
  <c r="B39" i="2"/>
  <c r="D39" i="2"/>
  <c r="F39" i="2"/>
  <c r="H39" i="2"/>
  <c r="J39" i="2"/>
  <c r="L39" i="2"/>
  <c r="N39" i="2"/>
  <c r="C46" i="2"/>
  <c r="E46" i="2"/>
  <c r="G46" i="2"/>
  <c r="I46" i="2"/>
  <c r="K46" i="2"/>
  <c r="M46" i="2"/>
  <c r="B64" i="2"/>
  <c r="D64" i="2"/>
  <c r="F64" i="2"/>
  <c r="H64" i="2"/>
  <c r="J64" i="2"/>
  <c r="L64" i="2"/>
  <c r="N64" i="2"/>
  <c r="C10" i="2"/>
  <c r="C15" i="2"/>
  <c r="B19" i="2"/>
  <c r="D19" i="2"/>
  <c r="F19" i="2"/>
  <c r="H19" i="2"/>
  <c r="J19" i="2"/>
  <c r="L19" i="2"/>
  <c r="N19" i="2"/>
  <c r="C39" i="2"/>
  <c r="E39" i="2"/>
  <c r="G39" i="2"/>
  <c r="I39" i="2"/>
  <c r="K39" i="2"/>
  <c r="M39" i="2"/>
  <c r="B46" i="2"/>
  <c r="D46" i="2"/>
  <c r="F46" i="2"/>
  <c r="H46" i="2"/>
  <c r="J46" i="2"/>
  <c r="L46" i="2"/>
  <c r="N46" i="2"/>
  <c r="C64" i="2"/>
  <c r="E64" i="2"/>
  <c r="G64" i="2"/>
  <c r="I64" i="2"/>
  <c r="K64" i="2"/>
  <c r="M64" i="2"/>
  <c r="D20" i="3" l="1"/>
  <c r="C47" i="3"/>
  <c r="C65" i="3"/>
  <c r="C86" i="3" s="1"/>
  <c r="D21" i="3"/>
  <c r="C84" i="3"/>
  <c r="C66" i="3"/>
  <c r="C48" i="3"/>
  <c r="D22" i="3"/>
  <c r="B85" i="3"/>
  <c r="B85" i="2"/>
  <c r="B87" i="2"/>
  <c r="D66" i="3" l="1"/>
  <c r="D86" i="3" s="1"/>
  <c r="D48" i="3"/>
  <c r="E22" i="3"/>
  <c r="D84" i="3"/>
  <c r="C85" i="3"/>
  <c r="D49" i="3"/>
  <c r="D67" i="3"/>
  <c r="E23" i="3"/>
  <c r="E20" i="3"/>
  <c r="D65" i="3"/>
  <c r="E21" i="3"/>
  <c r="D47" i="3"/>
  <c r="B84" i="2"/>
  <c r="C86" i="2"/>
  <c r="B86" i="2"/>
  <c r="E66" i="3" l="1"/>
  <c r="E48" i="3"/>
  <c r="F22" i="3"/>
  <c r="F20" i="3"/>
  <c r="E65" i="3"/>
  <c r="F21" i="3"/>
  <c r="E47" i="3"/>
  <c r="F24" i="3"/>
  <c r="E50" i="3"/>
  <c r="E68" i="3"/>
  <c r="E49" i="3"/>
  <c r="E67" i="3"/>
  <c r="E86" i="3" s="1"/>
  <c r="F23" i="3"/>
  <c r="E84" i="3"/>
  <c r="D85" i="3"/>
  <c r="C84" i="2"/>
  <c r="C85" i="2"/>
  <c r="D84" i="2"/>
  <c r="F51" i="3" l="1"/>
  <c r="G25" i="3"/>
  <c r="F69" i="3"/>
  <c r="F66" i="3"/>
  <c r="F48" i="3"/>
  <c r="G22" i="3"/>
  <c r="G20" i="3"/>
  <c r="F47" i="3"/>
  <c r="G21" i="3"/>
  <c r="F65" i="3"/>
  <c r="E85" i="3"/>
  <c r="F49" i="3"/>
  <c r="F67" i="3"/>
  <c r="F86" i="3" s="1"/>
  <c r="G23" i="3"/>
  <c r="F84" i="3"/>
  <c r="F68" i="3"/>
  <c r="G24" i="3"/>
  <c r="F50" i="3"/>
  <c r="D86" i="2"/>
  <c r="D85" i="2"/>
  <c r="E84" i="2"/>
  <c r="F85" i="3" l="1"/>
  <c r="G48" i="3"/>
  <c r="H22" i="3"/>
  <c r="G66" i="3"/>
  <c r="G65" i="3"/>
  <c r="G47" i="3"/>
  <c r="H21" i="3"/>
  <c r="H20" i="3"/>
  <c r="G67" i="3"/>
  <c r="G86" i="3" s="1"/>
  <c r="H23" i="3"/>
  <c r="G49" i="3"/>
  <c r="G84" i="3"/>
  <c r="G51" i="3"/>
  <c r="H25" i="3"/>
  <c r="G69" i="3"/>
  <c r="G52" i="3"/>
  <c r="G70" i="3"/>
  <c r="H26" i="3"/>
  <c r="G68" i="3"/>
  <c r="H24" i="3"/>
  <c r="G50" i="3"/>
  <c r="E85" i="2"/>
  <c r="G85" i="3" l="1"/>
  <c r="I24" i="3"/>
  <c r="H50" i="3"/>
  <c r="H68" i="3"/>
  <c r="H86" i="3" s="1"/>
  <c r="H84" i="3"/>
  <c r="H65" i="3"/>
  <c r="H47" i="3"/>
  <c r="I21" i="3"/>
  <c r="I20" i="3"/>
  <c r="I25" i="3"/>
  <c r="H69" i="3"/>
  <c r="H51" i="3"/>
  <c r="H48" i="3"/>
  <c r="I22" i="3"/>
  <c r="H66" i="3"/>
  <c r="I27" i="3"/>
  <c r="H53" i="3"/>
  <c r="H71" i="3"/>
  <c r="I23" i="3"/>
  <c r="H67" i="3"/>
  <c r="H49" i="3"/>
  <c r="H52" i="3"/>
  <c r="H70" i="3"/>
  <c r="I26" i="3"/>
  <c r="E86" i="2"/>
  <c r="F84" i="2"/>
  <c r="J27" i="3" l="1"/>
  <c r="I53" i="3"/>
  <c r="I71" i="3"/>
  <c r="I47" i="3"/>
  <c r="J21" i="3"/>
  <c r="J20" i="3"/>
  <c r="I65" i="3"/>
  <c r="I48" i="3"/>
  <c r="J22" i="3"/>
  <c r="I66" i="3"/>
  <c r="I50" i="3"/>
  <c r="J24" i="3"/>
  <c r="I68" i="3"/>
  <c r="I52" i="3"/>
  <c r="J26" i="3"/>
  <c r="I70" i="3"/>
  <c r="H85" i="3"/>
  <c r="I54" i="3"/>
  <c r="I72" i="3"/>
  <c r="J28" i="3"/>
  <c r="I69" i="3"/>
  <c r="I86" i="3" s="1"/>
  <c r="I51" i="3"/>
  <c r="J25" i="3"/>
  <c r="I84" i="3"/>
  <c r="I67" i="3"/>
  <c r="I49" i="3"/>
  <c r="J23" i="3"/>
  <c r="F85" i="2"/>
  <c r="F86" i="2"/>
  <c r="H84" i="2"/>
  <c r="G84" i="2"/>
  <c r="G85" i="2"/>
  <c r="J52" i="3" l="1"/>
  <c r="K26" i="3"/>
  <c r="J70" i="3"/>
  <c r="J69" i="3"/>
  <c r="J86" i="3" s="1"/>
  <c r="J51" i="3"/>
  <c r="K25" i="3"/>
  <c r="J84" i="3"/>
  <c r="J73" i="3"/>
  <c r="K29" i="3"/>
  <c r="J55" i="3"/>
  <c r="K27" i="3"/>
  <c r="J53" i="3"/>
  <c r="J71" i="3"/>
  <c r="I85" i="3"/>
  <c r="J67" i="3"/>
  <c r="J49" i="3"/>
  <c r="K23" i="3"/>
  <c r="K20" i="3"/>
  <c r="K21" i="3"/>
  <c r="J65" i="3"/>
  <c r="J47" i="3"/>
  <c r="K22" i="3"/>
  <c r="J48" i="3"/>
  <c r="J66" i="3"/>
  <c r="J50" i="3"/>
  <c r="K24" i="3"/>
  <c r="J68" i="3"/>
  <c r="J72" i="3"/>
  <c r="J54" i="3"/>
  <c r="K28" i="3"/>
  <c r="G86" i="2"/>
  <c r="I84" i="2"/>
  <c r="K54" i="3" l="1"/>
  <c r="K72" i="3"/>
  <c r="L28" i="3"/>
  <c r="K67" i="3"/>
  <c r="K49" i="3"/>
  <c r="L23" i="3"/>
  <c r="K66" i="3"/>
  <c r="L22" i="3"/>
  <c r="K48" i="3"/>
  <c r="K69" i="3"/>
  <c r="K86" i="3" s="1"/>
  <c r="L25" i="3"/>
  <c r="K51" i="3"/>
  <c r="K84" i="3"/>
  <c r="L30" i="3"/>
  <c r="K56" i="3"/>
  <c r="K74" i="3"/>
  <c r="K73" i="3"/>
  <c r="L29" i="3"/>
  <c r="K55" i="3"/>
  <c r="L21" i="3"/>
  <c r="L20" i="3"/>
  <c r="K65" i="3"/>
  <c r="K47" i="3"/>
  <c r="K50" i="3"/>
  <c r="L24" i="3"/>
  <c r="K68" i="3"/>
  <c r="L26" i="3"/>
  <c r="K52" i="3"/>
  <c r="K70" i="3"/>
  <c r="J85" i="3"/>
  <c r="L27" i="3"/>
  <c r="K71" i="3"/>
  <c r="K53" i="3"/>
  <c r="H85" i="2"/>
  <c r="H86" i="2"/>
  <c r="J84" i="2"/>
  <c r="I86" i="2"/>
  <c r="L69" i="3" l="1"/>
  <c r="M25" i="3"/>
  <c r="L51" i="3"/>
  <c r="K85" i="3"/>
  <c r="M26" i="3"/>
  <c r="L52" i="3"/>
  <c r="L70" i="3"/>
  <c r="L86" i="3" s="1"/>
  <c r="L84" i="3"/>
  <c r="M21" i="3"/>
  <c r="M20" i="3"/>
  <c r="L47" i="3"/>
  <c r="L65" i="3"/>
  <c r="L66" i="3"/>
  <c r="M22" i="3"/>
  <c r="L48" i="3"/>
  <c r="L67" i="3"/>
  <c r="L49" i="3"/>
  <c r="M23" i="3"/>
  <c r="L54" i="3"/>
  <c r="L72" i="3"/>
  <c r="M28" i="3"/>
  <c r="L56" i="3"/>
  <c r="M30" i="3"/>
  <c r="L74" i="3"/>
  <c r="L50" i="3"/>
  <c r="M24" i="3"/>
  <c r="L68" i="3"/>
  <c r="L75" i="3"/>
  <c r="L57" i="3"/>
  <c r="M31" i="3"/>
  <c r="M29" i="3"/>
  <c r="L55" i="3"/>
  <c r="L73" i="3"/>
  <c r="M27" i="3"/>
  <c r="L71" i="3"/>
  <c r="L53" i="3"/>
  <c r="I85" i="2"/>
  <c r="J85" i="2" l="1"/>
  <c r="M54" i="3"/>
  <c r="M72" i="3"/>
  <c r="N28" i="3"/>
  <c r="N20" i="3"/>
  <c r="M47" i="3"/>
  <c r="M65" i="3"/>
  <c r="N21" i="3"/>
  <c r="M57" i="3"/>
  <c r="M75" i="3"/>
  <c r="N31" i="3"/>
  <c r="N22" i="3"/>
  <c r="M48" i="3"/>
  <c r="M66" i="3"/>
  <c r="N29" i="3"/>
  <c r="M55" i="3"/>
  <c r="M73" i="3"/>
  <c r="N30" i="3"/>
  <c r="M56" i="3"/>
  <c r="M74" i="3"/>
  <c r="M76" i="3"/>
  <c r="M58" i="3"/>
  <c r="N32" i="3"/>
  <c r="L85" i="3"/>
  <c r="M50" i="3"/>
  <c r="N24" i="3"/>
  <c r="M68" i="3"/>
  <c r="N27" i="3"/>
  <c r="M71" i="3"/>
  <c r="M53" i="3"/>
  <c r="M67" i="3"/>
  <c r="M49" i="3"/>
  <c r="N23" i="3"/>
  <c r="M69" i="3"/>
  <c r="N25" i="3"/>
  <c r="M51" i="3"/>
  <c r="N26" i="3"/>
  <c r="M52" i="3"/>
  <c r="M70" i="3"/>
  <c r="M86" i="3" s="1"/>
  <c r="M84" i="3"/>
  <c r="J86" i="2"/>
  <c r="K84" i="2"/>
  <c r="S22" i="3" l="1"/>
  <c r="N49" i="3"/>
  <c r="N67" i="3"/>
  <c r="N71" i="3"/>
  <c r="N86" i="3" s="1"/>
  <c r="S26" i="3"/>
  <c r="N53" i="3"/>
  <c r="N84" i="3"/>
  <c r="N52" i="3"/>
  <c r="N70" i="3"/>
  <c r="S25" i="3"/>
  <c r="N76" i="3"/>
  <c r="S31" i="3"/>
  <c r="N58" i="3"/>
  <c r="N77" i="3"/>
  <c r="S32" i="3"/>
  <c r="N59" i="3"/>
  <c r="S23" i="3"/>
  <c r="N50" i="3"/>
  <c r="N68" i="3"/>
  <c r="N48" i="3"/>
  <c r="N66" i="3"/>
  <c r="S21" i="3"/>
  <c r="N47" i="3"/>
  <c r="J15" i="3"/>
  <c r="S20" i="3"/>
  <c r="L15" i="3" s="1"/>
  <c r="N65" i="3"/>
  <c r="N57" i="3"/>
  <c r="S30" i="3"/>
  <c r="N75" i="3"/>
  <c r="N55" i="3"/>
  <c r="S28" i="3"/>
  <c r="N73" i="3"/>
  <c r="S27" i="3"/>
  <c r="N72" i="3"/>
  <c r="N54" i="3"/>
  <c r="N74" i="3"/>
  <c r="S29" i="3"/>
  <c r="N56" i="3"/>
  <c r="N69" i="3"/>
  <c r="N51" i="3"/>
  <c r="S24" i="3"/>
  <c r="M85" i="3"/>
  <c r="K86" i="2"/>
  <c r="K85" i="2"/>
  <c r="L84" i="2"/>
  <c r="L86" i="2"/>
  <c r="S31" i="2"/>
  <c r="S56" i="3" l="1"/>
  <c r="N147" i="3"/>
  <c r="N126" i="3"/>
  <c r="N106" i="3"/>
  <c r="N145" i="3"/>
  <c r="N104" i="3"/>
  <c r="N124" i="3"/>
  <c r="S54" i="3"/>
  <c r="N102" i="3"/>
  <c r="M102" i="3" s="1"/>
  <c r="N122" i="3"/>
  <c r="M122" i="3" s="1"/>
  <c r="S52" i="3"/>
  <c r="N143" i="3"/>
  <c r="M143" i="3" s="1"/>
  <c r="S48" i="3"/>
  <c r="N139" i="3"/>
  <c r="M139" i="3" s="1"/>
  <c r="N98" i="3"/>
  <c r="M98" i="3" s="1"/>
  <c r="N118" i="3"/>
  <c r="M118" i="3" s="1"/>
  <c r="N123" i="3"/>
  <c r="S53" i="3"/>
  <c r="N144" i="3"/>
  <c r="N103" i="3"/>
  <c r="N85" i="3"/>
  <c r="N146" i="3"/>
  <c r="M146" i="3" s="1"/>
  <c r="S55" i="3"/>
  <c r="N105" i="3"/>
  <c r="M105" i="3" s="1"/>
  <c r="N125" i="3"/>
  <c r="M125" i="3" s="1"/>
  <c r="N120" i="3"/>
  <c r="S50" i="3"/>
  <c r="N141" i="3"/>
  <c r="M141" i="3" s="1"/>
  <c r="N100" i="3"/>
  <c r="N121" i="3"/>
  <c r="M121" i="3" s="1"/>
  <c r="L121" i="3" s="1"/>
  <c r="N101" i="3"/>
  <c r="M101" i="3" s="1"/>
  <c r="L101" i="3" s="1"/>
  <c r="S51" i="3"/>
  <c r="N142" i="3"/>
  <c r="N148" i="3"/>
  <c r="N127" i="3"/>
  <c r="N107" i="3"/>
  <c r="S57" i="3"/>
  <c r="N99" i="3"/>
  <c r="N140" i="3"/>
  <c r="S49" i="3"/>
  <c r="N119" i="3"/>
  <c r="N149" i="3"/>
  <c r="M149" i="3" s="1"/>
  <c r="N128" i="3"/>
  <c r="M128" i="3" s="1"/>
  <c r="N108" i="3"/>
  <c r="M108" i="3" s="1"/>
  <c r="S58" i="3"/>
  <c r="S47" i="3"/>
  <c r="N138" i="3"/>
  <c r="M138" i="3" s="1"/>
  <c r="L138" i="3" s="1"/>
  <c r="N97" i="3"/>
  <c r="M97" i="3" s="1"/>
  <c r="L97" i="3" s="1"/>
  <c r="N117" i="3"/>
  <c r="B55" i="3"/>
  <c r="N150" i="3"/>
  <c r="N129" i="3"/>
  <c r="N109" i="3"/>
  <c r="S59" i="3"/>
  <c r="B71" i="3"/>
  <c r="L85" i="2"/>
  <c r="M84" i="2"/>
  <c r="N149" i="2"/>
  <c r="N108" i="2"/>
  <c r="N128" i="2"/>
  <c r="S58" i="2"/>
  <c r="K138" i="3" l="1"/>
  <c r="J138" i="3" s="1"/>
  <c r="L98" i="3"/>
  <c r="K98" i="3" s="1"/>
  <c r="J98" i="3" s="1"/>
  <c r="I98" i="3" s="1"/>
  <c r="L141" i="3"/>
  <c r="K141" i="3" s="1"/>
  <c r="L122" i="3"/>
  <c r="K122" i="3" s="1"/>
  <c r="J122" i="3" s="1"/>
  <c r="M99" i="3"/>
  <c r="L99" i="3" s="1"/>
  <c r="K99" i="3" s="1"/>
  <c r="J99" i="3" s="1"/>
  <c r="M104" i="3"/>
  <c r="L104" i="3" s="1"/>
  <c r="M145" i="3"/>
  <c r="L145" i="3" s="1"/>
  <c r="M103" i="3"/>
  <c r="L103" i="3" s="1"/>
  <c r="K103" i="3" s="1"/>
  <c r="M144" i="3"/>
  <c r="L144" i="3" s="1"/>
  <c r="K144" i="3" s="1"/>
  <c r="L118" i="3"/>
  <c r="K118" i="3" s="1"/>
  <c r="J118" i="3" s="1"/>
  <c r="I118" i="3" s="1"/>
  <c r="K101" i="3"/>
  <c r="J101" i="3" s="1"/>
  <c r="I101" i="3" s="1"/>
  <c r="D55" i="3"/>
  <c r="L139" i="3"/>
  <c r="K139" i="3" s="1"/>
  <c r="M100" i="3"/>
  <c r="L100" i="3" s="1"/>
  <c r="K100" i="3" s="1"/>
  <c r="M120" i="3"/>
  <c r="L120" i="3" s="1"/>
  <c r="K120" i="3" s="1"/>
  <c r="M119" i="3"/>
  <c r="L119" i="3" s="1"/>
  <c r="K119" i="3" s="1"/>
  <c r="J119" i="3" s="1"/>
  <c r="L102" i="3"/>
  <c r="K102" i="3" s="1"/>
  <c r="J102" i="3" s="1"/>
  <c r="M140" i="3"/>
  <c r="L140" i="3" s="1"/>
  <c r="M124" i="3"/>
  <c r="L124" i="3" s="1"/>
  <c r="M85" i="2"/>
  <c r="M107" i="3"/>
  <c r="L107" i="3" s="1"/>
  <c r="M106" i="3"/>
  <c r="L106" i="3" s="1"/>
  <c r="K106" i="3" s="1"/>
  <c r="M127" i="3"/>
  <c r="L127" i="3" s="1"/>
  <c r="M126" i="3"/>
  <c r="L126" i="3" s="1"/>
  <c r="K126" i="3" s="1"/>
  <c r="M148" i="3"/>
  <c r="L148" i="3" s="1"/>
  <c r="M147" i="3"/>
  <c r="L147" i="3" s="1"/>
  <c r="K147" i="3" s="1"/>
  <c r="M117" i="3"/>
  <c r="L117" i="3" s="1"/>
  <c r="M142" i="3"/>
  <c r="L142" i="3" s="1"/>
  <c r="M123" i="3"/>
  <c r="L123" i="3" s="1"/>
  <c r="K123" i="3" s="1"/>
  <c r="M86" i="2"/>
  <c r="S32" i="2"/>
  <c r="N109" i="2"/>
  <c r="M108" i="2" s="1"/>
  <c r="S25" i="2"/>
  <c r="S22" i="2"/>
  <c r="S27" i="2"/>
  <c r="S26" i="2"/>
  <c r="N84" i="2"/>
  <c r="S29" i="2"/>
  <c r="S21" i="2"/>
  <c r="S24" i="2"/>
  <c r="S28" i="2"/>
  <c r="S20" i="2"/>
  <c r="S23" i="2"/>
  <c r="S30" i="2"/>
  <c r="J15" i="2"/>
  <c r="N129" i="2" l="1"/>
  <c r="M128" i="2" s="1"/>
  <c r="N150" i="2"/>
  <c r="M149" i="2" s="1"/>
  <c r="S59" i="2"/>
  <c r="L146" i="3"/>
  <c r="K146" i="3" s="1"/>
  <c r="J146" i="3" s="1"/>
  <c r="L105" i="3"/>
  <c r="K105" i="3" s="1"/>
  <c r="J105" i="3" s="1"/>
  <c r="K140" i="3"/>
  <c r="J140" i="3" s="1"/>
  <c r="L125" i="3"/>
  <c r="K125" i="3" s="1"/>
  <c r="J125" i="3" s="1"/>
  <c r="K121" i="3"/>
  <c r="J121" i="3" s="1"/>
  <c r="I121" i="3" s="1"/>
  <c r="L143" i="3"/>
  <c r="K143" i="3" s="1"/>
  <c r="J143" i="3" s="1"/>
  <c r="L15" i="2"/>
  <c r="K142" i="3"/>
  <c r="J142" i="3" s="1"/>
  <c r="I142" i="3" s="1"/>
  <c r="J100" i="3"/>
  <c r="I100" i="3" s="1"/>
  <c r="H100" i="3" s="1"/>
  <c r="K117" i="3"/>
  <c r="J117" i="3" s="1"/>
  <c r="I117" i="3" s="1"/>
  <c r="H117" i="3" s="1"/>
  <c r="J139" i="3"/>
  <c r="I139" i="3" s="1"/>
  <c r="K97" i="3"/>
  <c r="J97" i="3" s="1"/>
  <c r="I97" i="3" s="1"/>
  <c r="H97" i="3" s="1"/>
  <c r="B71" i="2"/>
  <c r="N86" i="2"/>
  <c r="N144" i="2"/>
  <c r="S53" i="2"/>
  <c r="N123" i="2"/>
  <c r="N103" i="2"/>
  <c r="S54" i="2"/>
  <c r="N124" i="2"/>
  <c r="N145" i="2"/>
  <c r="N104" i="2"/>
  <c r="N120" i="2"/>
  <c r="S50" i="2"/>
  <c r="N141" i="2"/>
  <c r="N100" i="2"/>
  <c r="N97" i="2"/>
  <c r="S47" i="2"/>
  <c r="N117" i="2"/>
  <c r="N138" i="2"/>
  <c r="N85" i="2"/>
  <c r="N125" i="2"/>
  <c r="S55" i="2"/>
  <c r="N146" i="2"/>
  <c r="N105" i="2"/>
  <c r="S48" i="2"/>
  <c r="N139" i="2"/>
  <c r="N98" i="2"/>
  <c r="N118" i="2"/>
  <c r="N147" i="2"/>
  <c r="N106" i="2"/>
  <c r="S56" i="2"/>
  <c r="N126" i="2"/>
  <c r="N142" i="2"/>
  <c r="N101" i="2"/>
  <c r="S51" i="2"/>
  <c r="N121" i="2"/>
  <c r="S52" i="2"/>
  <c r="N143" i="2"/>
  <c r="M143" i="2" s="1"/>
  <c r="N122" i="2"/>
  <c r="N102" i="2"/>
  <c r="N140" i="2"/>
  <c r="S49" i="2"/>
  <c r="N119" i="2"/>
  <c r="N99" i="2"/>
  <c r="N127" i="2"/>
  <c r="N107" i="2"/>
  <c r="S57" i="2"/>
  <c r="N148" i="2"/>
  <c r="B55" i="2"/>
  <c r="I99" i="3" l="1"/>
  <c r="K104" i="3"/>
  <c r="K145" i="3"/>
  <c r="J120" i="3"/>
  <c r="I138" i="3"/>
  <c r="H138" i="3" s="1"/>
  <c r="K124" i="3"/>
  <c r="J141" i="3"/>
  <c r="I141" i="3" s="1"/>
  <c r="H141" i="3" s="1"/>
  <c r="M119" i="2"/>
  <c r="M123" i="2"/>
  <c r="M99" i="2"/>
  <c r="M102" i="2"/>
  <c r="M146" i="2"/>
  <c r="M140" i="2"/>
  <c r="M105" i="2"/>
  <c r="M144" i="2"/>
  <c r="L143" i="2" s="1"/>
  <c r="M122" i="2"/>
  <c r="L122" i="2" s="1"/>
  <c r="M98" i="2"/>
  <c r="M138" i="2"/>
  <c r="M100" i="2"/>
  <c r="M104" i="2"/>
  <c r="M103" i="2"/>
  <c r="M101" i="2"/>
  <c r="M139" i="2"/>
  <c r="M117" i="2"/>
  <c r="M141" i="2"/>
  <c r="M145" i="2"/>
  <c r="D55" i="2"/>
  <c r="M142" i="2"/>
  <c r="M125" i="2"/>
  <c r="M124" i="2"/>
  <c r="M121" i="2"/>
  <c r="M118" i="2"/>
  <c r="M97" i="2"/>
  <c r="L97" i="2" s="1"/>
  <c r="M120" i="2"/>
  <c r="M106" i="2"/>
  <c r="M107" i="2"/>
  <c r="L107" i="2" s="1"/>
  <c r="M126" i="2"/>
  <c r="M127" i="2"/>
  <c r="L127" i="2" s="1"/>
  <c r="M148" i="2"/>
  <c r="L148" i="2" s="1"/>
  <c r="M147" i="2"/>
  <c r="L99" i="2" l="1"/>
  <c r="L98" i="2"/>
  <c r="K97" i="2" s="1"/>
  <c r="J124" i="3"/>
  <c r="I124" i="3" s="1"/>
  <c r="J123" i="3"/>
  <c r="I120" i="3"/>
  <c r="H120" i="3" s="1"/>
  <c r="I119" i="3"/>
  <c r="J104" i="3"/>
  <c r="I104" i="3" s="1"/>
  <c r="J103" i="3"/>
  <c r="I140" i="3"/>
  <c r="L118" i="2"/>
  <c r="J145" i="3"/>
  <c r="I145" i="3" s="1"/>
  <c r="J144" i="3"/>
  <c r="H99" i="3"/>
  <c r="G99" i="3" s="1"/>
  <c r="H98" i="3"/>
  <c r="L140" i="2"/>
  <c r="L101" i="2"/>
  <c r="L121" i="2"/>
  <c r="K121" i="2" s="1"/>
  <c r="L145" i="2"/>
  <c r="L104" i="2"/>
  <c r="L144" i="2"/>
  <c r="L141" i="2"/>
  <c r="L142" i="2"/>
  <c r="L123" i="2"/>
  <c r="L124" i="2"/>
  <c r="L120" i="2"/>
  <c r="K120" i="2" s="1"/>
  <c r="J120" i="2" s="1"/>
  <c r="L119" i="2"/>
  <c r="K119" i="2" s="1"/>
  <c r="J119" i="2" s="1"/>
  <c r="L117" i="2"/>
  <c r="K117" i="2" s="1"/>
  <c r="L103" i="2"/>
  <c r="K103" i="2" s="1"/>
  <c r="L102" i="2"/>
  <c r="L139" i="2"/>
  <c r="L138" i="2"/>
  <c r="L100" i="2"/>
  <c r="L126" i="2"/>
  <c r="K126" i="2" s="1"/>
  <c r="L125" i="2"/>
  <c r="L147" i="2"/>
  <c r="K147" i="2" s="1"/>
  <c r="L146" i="2"/>
  <c r="L106" i="2"/>
  <c r="K106" i="2" s="1"/>
  <c r="L105" i="2"/>
  <c r="K98" i="2" l="1"/>
  <c r="J97" i="2" s="1"/>
  <c r="I144" i="3"/>
  <c r="H144" i="3" s="1"/>
  <c r="I143" i="3"/>
  <c r="I103" i="3"/>
  <c r="H103" i="3" s="1"/>
  <c r="I102" i="3"/>
  <c r="K140" i="2"/>
  <c r="H119" i="3"/>
  <c r="G119" i="3" s="1"/>
  <c r="H118" i="3"/>
  <c r="G98" i="3"/>
  <c r="F98" i="3" s="1"/>
  <c r="G97" i="3"/>
  <c r="F97" i="3" s="1"/>
  <c r="E97" i="3" s="1"/>
  <c r="H140" i="3"/>
  <c r="G140" i="3" s="1"/>
  <c r="H139" i="3"/>
  <c r="I123" i="3"/>
  <c r="H123" i="3" s="1"/>
  <c r="I122" i="3"/>
  <c r="K139" i="2"/>
  <c r="J139" i="2" s="1"/>
  <c r="K100" i="2"/>
  <c r="K99" i="2"/>
  <c r="K101" i="2"/>
  <c r="K102" i="2"/>
  <c r="K138" i="2"/>
  <c r="K144" i="2"/>
  <c r="K143" i="2"/>
  <c r="J143" i="2" s="1"/>
  <c r="K141" i="2"/>
  <c r="K142" i="2"/>
  <c r="K123" i="2"/>
  <c r="K122" i="2"/>
  <c r="K118" i="2"/>
  <c r="J118" i="2" s="1"/>
  <c r="I118" i="2" s="1"/>
  <c r="K146" i="2"/>
  <c r="J146" i="2" s="1"/>
  <c r="K145" i="2"/>
  <c r="K104" i="2"/>
  <c r="K105" i="2"/>
  <c r="J105" i="2" s="1"/>
  <c r="K125" i="2"/>
  <c r="J125" i="2" s="1"/>
  <c r="K124" i="2"/>
  <c r="I119" i="2"/>
  <c r="H122" i="3" l="1"/>
  <c r="G122" i="3" s="1"/>
  <c r="H121" i="3"/>
  <c r="G139" i="3"/>
  <c r="F139" i="3" s="1"/>
  <c r="G138" i="3"/>
  <c r="F138" i="3" s="1"/>
  <c r="E138" i="3" s="1"/>
  <c r="G118" i="3"/>
  <c r="F118" i="3" s="1"/>
  <c r="G117" i="3"/>
  <c r="F117" i="3" s="1"/>
  <c r="E117" i="3" s="1"/>
  <c r="H102" i="3"/>
  <c r="G102" i="3" s="1"/>
  <c r="H101" i="3"/>
  <c r="J138" i="2"/>
  <c r="I138" i="2" s="1"/>
  <c r="H143" i="3"/>
  <c r="G143" i="3" s="1"/>
  <c r="H142" i="3"/>
  <c r="J141" i="2"/>
  <c r="J100" i="2"/>
  <c r="J122" i="2"/>
  <c r="J121" i="2"/>
  <c r="I120" i="2" s="1"/>
  <c r="H119" i="2" s="1"/>
  <c r="J101" i="2"/>
  <c r="J102" i="2"/>
  <c r="J140" i="2"/>
  <c r="J99" i="2"/>
  <c r="J98" i="2"/>
  <c r="J142" i="2"/>
  <c r="I142" i="2" s="1"/>
  <c r="I139" i="2"/>
  <c r="J117" i="2"/>
  <c r="I117" i="2" s="1"/>
  <c r="H117" i="2" s="1"/>
  <c r="J103" i="2"/>
  <c r="J104" i="2"/>
  <c r="I104" i="2" s="1"/>
  <c r="J124" i="2"/>
  <c r="I124" i="2" s="1"/>
  <c r="J123" i="2"/>
  <c r="J145" i="2"/>
  <c r="I145" i="2" s="1"/>
  <c r="J144" i="2"/>
  <c r="H118" i="2"/>
  <c r="I99" i="2" l="1"/>
  <c r="I140" i="2"/>
  <c r="G142" i="3"/>
  <c r="F142" i="3" s="1"/>
  <c r="G141" i="3"/>
  <c r="H139" i="2"/>
  <c r="G101" i="3"/>
  <c r="F101" i="3" s="1"/>
  <c r="G100" i="3"/>
  <c r="G121" i="3"/>
  <c r="F121" i="3" s="1"/>
  <c r="G120" i="3"/>
  <c r="I101" i="2"/>
  <c r="H138" i="2"/>
  <c r="G138" i="2" s="1"/>
  <c r="I141" i="2"/>
  <c r="H141" i="2" s="1"/>
  <c r="I100" i="2"/>
  <c r="H100" i="2" s="1"/>
  <c r="G118" i="2"/>
  <c r="I98" i="2"/>
  <c r="H98" i="2" s="1"/>
  <c r="I97" i="2"/>
  <c r="I121" i="2"/>
  <c r="H120" i="2" s="1"/>
  <c r="G119" i="2" s="1"/>
  <c r="I123" i="2"/>
  <c r="H123" i="2" s="1"/>
  <c r="I122" i="2"/>
  <c r="I144" i="2"/>
  <c r="H144" i="2" s="1"/>
  <c r="I143" i="2"/>
  <c r="I102" i="2"/>
  <c r="I103" i="2"/>
  <c r="H103" i="2" s="1"/>
  <c r="G117" i="2"/>
  <c r="F100" i="3" l="1"/>
  <c r="E100" i="3" s="1"/>
  <c r="F99" i="3"/>
  <c r="F120" i="3"/>
  <c r="E120" i="3" s="1"/>
  <c r="F119" i="3"/>
  <c r="F141" i="3"/>
  <c r="E141" i="3" s="1"/>
  <c r="F140" i="3"/>
  <c r="F117" i="2"/>
  <c r="F118" i="2"/>
  <c r="H99" i="2"/>
  <c r="G99" i="2" s="1"/>
  <c r="H97" i="2"/>
  <c r="G97" i="2" s="1"/>
  <c r="G98" i="2"/>
  <c r="F98" i="2" s="1"/>
  <c r="H140" i="2"/>
  <c r="H102" i="2"/>
  <c r="G102" i="2" s="1"/>
  <c r="H101" i="2"/>
  <c r="H122" i="2"/>
  <c r="G122" i="2" s="1"/>
  <c r="H121" i="2"/>
  <c r="H143" i="2"/>
  <c r="G143" i="2" s="1"/>
  <c r="H142" i="2"/>
  <c r="E117" i="2" l="1"/>
  <c r="E140" i="3"/>
  <c r="D140" i="3" s="1"/>
  <c r="E139" i="3"/>
  <c r="E119" i="3"/>
  <c r="D119" i="3" s="1"/>
  <c r="E118" i="3"/>
  <c r="E99" i="3"/>
  <c r="D99" i="3" s="1"/>
  <c r="E98" i="3"/>
  <c r="G140" i="2"/>
  <c r="G139" i="2"/>
  <c r="F97" i="2"/>
  <c r="E97" i="2" s="1"/>
  <c r="G142" i="2"/>
  <c r="F142" i="2" s="1"/>
  <c r="G141" i="2"/>
  <c r="G101" i="2"/>
  <c r="F101" i="2" s="1"/>
  <c r="G100" i="2"/>
  <c r="G121" i="2"/>
  <c r="F121" i="2" s="1"/>
  <c r="G120" i="2"/>
  <c r="D98" i="3" l="1"/>
  <c r="C98" i="3" s="1"/>
  <c r="D97" i="3"/>
  <c r="C97" i="3" s="1"/>
  <c r="B97" i="3" s="1"/>
  <c r="D118" i="3"/>
  <c r="C118" i="3" s="1"/>
  <c r="D117" i="3"/>
  <c r="C117" i="3" s="1"/>
  <c r="B117" i="3" s="1"/>
  <c r="D139" i="3"/>
  <c r="C139" i="3" s="1"/>
  <c r="D138" i="3"/>
  <c r="C138" i="3" s="1"/>
  <c r="B138" i="3" s="1"/>
  <c r="F139" i="2"/>
  <c r="F138" i="2"/>
  <c r="E138" i="2" s="1"/>
  <c r="F99" i="2"/>
  <c r="F100" i="2"/>
  <c r="E100" i="2" s="1"/>
  <c r="F120" i="2"/>
  <c r="E120" i="2" s="1"/>
  <c r="F119" i="2"/>
  <c r="F141" i="2"/>
  <c r="E141" i="2" s="1"/>
  <c r="F140" i="2"/>
  <c r="E98" i="2" l="1"/>
  <c r="E99" i="2"/>
  <c r="D99" i="2" s="1"/>
  <c r="E139" i="2"/>
  <c r="E140" i="2"/>
  <c r="D140" i="2" s="1"/>
  <c r="E119" i="2"/>
  <c r="D119" i="2" s="1"/>
  <c r="E118" i="2"/>
  <c r="D139" i="2" l="1"/>
  <c r="C139" i="2" s="1"/>
  <c r="D138" i="2"/>
  <c r="D118" i="2"/>
  <c r="C118" i="2" s="1"/>
  <c r="D117" i="2"/>
  <c r="D97" i="2"/>
  <c r="D98" i="2"/>
  <c r="C98" i="2" s="1"/>
  <c r="C97" i="2" l="1"/>
  <c r="B97" i="2"/>
  <c r="C117" i="2"/>
  <c r="B117" i="2" s="1"/>
  <c r="C138" i="2"/>
  <c r="B1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Fernández Gallardo</author>
  </authors>
  <commentList>
    <comment ref="B2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la evolución parte de la cotización de hoy, a la que le restamos el valor actual de los dividendos futuros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la evolución de S no es martingala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pero acumula la volatilidad correcta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coincide con la cotización hasta el primer pago de dividendo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8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observa que la call americana ya es más valiosa que la correspondiente europea (por la presencia de los dividendos)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Fernández Gallardo</author>
  </authors>
  <commentList>
    <comment ref="B20" authorId="0" shapeId="0" xr:uid="{D82C2353-CCA9-4C21-85DF-2001838B235F}">
      <text>
        <r>
          <rPr>
            <b/>
            <sz val="8"/>
            <color indexed="81"/>
            <rFont val="Tahoma"/>
            <family val="2"/>
          </rPr>
          <t>la evolución parte de la cotización de hoy, a la que le restamos el valor actual de los dividendos futuros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5" authorId="0" shapeId="0" xr:uid="{75E92577-59A2-4984-83E5-41CEE51F4BC6}">
      <text>
        <r>
          <rPr>
            <b/>
            <sz val="8"/>
            <color indexed="81"/>
            <rFont val="Tahoma"/>
            <family val="2"/>
          </rPr>
          <t>la evolución de S no es martingala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5" authorId="0" shapeId="0" xr:uid="{93C41420-3A22-484E-9DE4-51B56671D19E}">
      <text>
        <r>
          <rPr>
            <b/>
            <sz val="8"/>
            <color indexed="81"/>
            <rFont val="Tahoma"/>
            <family val="2"/>
          </rPr>
          <t>pero acumula la volatilidad correcta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5" authorId="0" shapeId="0" xr:uid="{E7FEC435-9A3D-454F-95AB-724410305B44}">
      <text>
        <r>
          <rPr>
            <b/>
            <sz val="8"/>
            <color indexed="81"/>
            <rFont val="Tahoma"/>
            <family val="2"/>
          </rPr>
          <t>coincide con la cotización hasta el primer pago de dividendo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8" authorId="0" shapeId="0" xr:uid="{9A62CD21-3C06-4CC0-8DE3-F617E81F1819}">
      <text>
        <r>
          <rPr>
            <b/>
            <sz val="8"/>
            <color indexed="81"/>
            <rFont val="Tahoma"/>
            <family val="2"/>
          </rPr>
          <t>observa que la call americana ya es más valiosa que la correspondiente europea (por la presencia de los dividendos)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<sst xmlns="http://schemas.openxmlformats.org/spreadsheetml/2006/main" count="97" uniqueCount="37">
  <si>
    <t>p</t>
  </si>
  <si>
    <t>Datos de mercado</t>
  </si>
  <si>
    <t>Deltat</t>
  </si>
  <si>
    <t>Datos del modelo</t>
  </si>
  <si>
    <t>Parámetros del modelo</t>
  </si>
  <si>
    <t>u</t>
  </si>
  <si>
    <t>dividendos</t>
  </si>
  <si>
    <t>Div1</t>
  </si>
  <si>
    <t>Div2</t>
  </si>
  <si>
    <t>Tiempo1</t>
  </si>
  <si>
    <t>Tiempo2</t>
  </si>
  <si>
    <t>Árbol de evolución de S*</t>
  </si>
  <si>
    <t>Volatilidad</t>
  </si>
  <si>
    <t>Cotización hoy</t>
  </si>
  <si>
    <t>Descuento periodo</t>
  </si>
  <si>
    <t>Proceso de dividendos</t>
  </si>
  <si>
    <t>probabilidades</t>
  </si>
  <si>
    <t>Árbol de evolución del valor de la inversión en el activo</t>
  </si>
  <si>
    <t>Árbol de evolución de la cotización S</t>
  </si>
  <si>
    <t>Valoración de una put americana</t>
  </si>
  <si>
    <t>Árbol de evolución de la opción</t>
  </si>
  <si>
    <t>vencimiento</t>
  </si>
  <si>
    <t>strike</t>
  </si>
  <si>
    <t>Valoración de una call europea</t>
  </si>
  <si>
    <t>Valoración de una call americana</t>
  </si>
  <si>
    <t>rendimientos anuales</t>
  </si>
  <si>
    <t>¿martingala?</t>
  </si>
  <si>
    <t>una mínima comprobación</t>
  </si>
  <si>
    <t>volatilidad anual</t>
  </si>
  <si>
    <t>d</t>
  </si>
  <si>
    <t>pequeña comprobación de martingala</t>
  </si>
  <si>
    <t>meses</t>
  </si>
  <si>
    <t>Tipo de interés (continuo)</t>
  </si>
  <si>
    <t>senda S*</t>
  </si>
  <si>
    <t>senda S</t>
  </si>
  <si>
    <t>senda inversión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</si>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</sst>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000"/>
    <numFmt numFmtId="165" formatCode="0.000000"/>
    <numFmt numFmtId="166" formatCode="0.000%"/>
    <numFmt numFmtId="167" formatCode="0.0000"/>
    <numFmt numFmtId="168" formatCode="0.00000%"/>
    <numFmt numFmtId="169" formatCode="0.00000000000000"/>
    <numFmt numFmtId="170" formatCode="0.00000"/>
    <numFmt numFmtId="171" formatCode="0.0%"/>
    <numFmt numFmtId="172" formatCode="0.0000%"/>
  </numFmts>
  <fonts count="10" x14ac:knownFonts="1">
    <font>
      <sz val="10"/>
      <name val="Arial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0" xfId="0" applyNumberFormat="1" applyFont="1"/>
    <xf numFmtId="0" fontId="4" fillId="0" borderId="4" xfId="0" applyFont="1" applyBorder="1"/>
    <xf numFmtId="169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1" applyNumberFormat="1" applyFont="1"/>
    <xf numFmtId="0" fontId="6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8" fontId="4" fillId="0" borderId="0" xfId="1" applyNumberFormat="1" applyFont="1"/>
    <xf numFmtId="166" fontId="4" fillId="0" borderId="12" xfId="1" applyNumberFormat="1" applyFont="1" applyBorder="1"/>
    <xf numFmtId="10" fontId="4" fillId="0" borderId="0" xfId="1" applyNumberFormat="1" applyFont="1"/>
    <xf numFmtId="166" fontId="4" fillId="0" borderId="13" xfId="1" applyNumberFormat="1" applyFont="1" applyBorder="1"/>
    <xf numFmtId="166" fontId="4" fillId="0" borderId="14" xfId="1" applyNumberFormat="1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170" fontId="4" fillId="0" borderId="0" xfId="0" applyNumberFormat="1" applyFont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4" borderId="0" xfId="0" applyNumberFormat="1" applyFont="1" applyFill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4" borderId="1" xfId="0" applyNumberFormat="1" applyFont="1" applyFill="1" applyBorder="1" applyAlignment="1">
      <alignment horizontal="center"/>
    </xf>
    <xf numFmtId="171" fontId="4" fillId="0" borderId="8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167" fontId="4" fillId="6" borderId="0" xfId="0" applyNumberFormat="1" applyFont="1" applyFill="1" applyAlignment="1">
      <alignment horizontal="center"/>
    </xf>
    <xf numFmtId="167" fontId="4" fillId="7" borderId="0" xfId="0" applyNumberFormat="1" applyFont="1" applyFill="1" applyAlignment="1">
      <alignment horizontal="center"/>
    </xf>
    <xf numFmtId="167" fontId="7" fillId="5" borderId="0" xfId="0" applyNumberFormat="1" applyFont="1" applyFill="1" applyAlignment="1">
      <alignment horizontal="center"/>
    </xf>
    <xf numFmtId="170" fontId="7" fillId="5" borderId="0" xfId="0" applyNumberFormat="1" applyFont="1" applyFill="1" applyAlignment="1">
      <alignment horizontal="center"/>
    </xf>
    <xf numFmtId="172" fontId="4" fillId="0" borderId="0" xfId="1" applyNumberFormat="1" applyFont="1" applyAlignment="1">
      <alignment horizontal="center"/>
    </xf>
    <xf numFmtId="0" fontId="5" fillId="8" borderId="10" xfId="0" applyFont="1" applyFill="1" applyBorder="1" applyAlignment="1">
      <alignment horizontal="center"/>
    </xf>
    <xf numFmtId="10" fontId="4" fillId="8" borderId="8" xfId="1" applyNumberFormat="1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65" fontId="4" fillId="8" borderId="3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5" fontId="4" fillId="8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16666666666666E-2"/>
          <c:y val="4.8611111111111112E-2"/>
          <c:w val="0.6875"/>
          <c:h val="0.7951388888888888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Hoja1!$B$39:$N$39</c:f>
              <c:numCache>
                <c:formatCode>0.0000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Hoja1!$B$40:$N$40</c:f>
              <c:numCache>
                <c:formatCode>0.00000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1-4CD6-BD57-23C4543AE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92288"/>
        <c:axId val="79882496"/>
      </c:lineChart>
      <c:catAx>
        <c:axId val="77692288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crossAx val="79882496"/>
        <c:crosses val="autoZero"/>
        <c:auto val="1"/>
        <c:lblAlgn val="ctr"/>
        <c:lblOffset val="100"/>
        <c:noMultiLvlLbl val="0"/>
      </c:catAx>
      <c:valAx>
        <c:axId val="7988249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77692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16666666666666E-2"/>
          <c:y val="4.8611111111111112E-2"/>
          <c:w val="0.6875"/>
          <c:h val="0.7951388888888888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Hoja2!$B$39:$N$39</c:f>
              <c:numCache>
                <c:formatCode>0.0000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0.41666666666666663</c:v>
                </c:pt>
                <c:pt idx="6">
                  <c:v>0.5</c:v>
                </c:pt>
                <c:pt idx="7">
                  <c:v>0.58333333333333326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0.83333333333333326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Hoja2!$B$40:$N$40</c:f>
              <c:numCache>
                <c:formatCode>0.00000</c:formatCode>
                <c:ptCount val="13"/>
                <c:pt idx="0">
                  <c:v>3.4886486982052949</c:v>
                </c:pt>
                <c:pt idx="1">
                  <c:v>3.4903934587081742</c:v>
                </c:pt>
                <c:pt idx="2">
                  <c:v>3.4921390918094364</c:v>
                </c:pt>
                <c:pt idx="3">
                  <c:v>1.9935105510665829</c:v>
                </c:pt>
                <c:pt idx="4">
                  <c:v>1.9945075555724716</c:v>
                </c:pt>
                <c:pt idx="5">
                  <c:v>1.9955050587052598</c:v>
                </c:pt>
                <c:pt idx="6">
                  <c:v>1.996503060714323</c:v>
                </c:pt>
                <c:pt idx="7">
                  <c:v>1.9975015618491618</c:v>
                </c:pt>
                <c:pt idx="8">
                  <c:v>1.9985005623594014</c:v>
                </c:pt>
                <c:pt idx="9">
                  <c:v>1.9995000624947921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B-4A89-9FDE-087DF1C1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92288"/>
        <c:axId val="79882496"/>
      </c:lineChart>
      <c:catAx>
        <c:axId val="77692288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crossAx val="79882496"/>
        <c:crosses val="autoZero"/>
        <c:auto val="1"/>
        <c:lblAlgn val="ctr"/>
        <c:lblOffset val="100"/>
        <c:noMultiLvlLbl val="0"/>
      </c:catAx>
      <c:valAx>
        <c:axId val="7988249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77692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229218</xdr:colOff>
      <xdr:row>33</xdr:row>
      <xdr:rowOff>164522</xdr:rowOff>
    </xdr:from>
    <xdr:to>
      <xdr:col>18</xdr:col>
      <xdr:colOff>318655</xdr:colOff>
      <xdr:row>42</xdr:row>
      <xdr:rowOff>146832</xdr:rowOff>
    </xdr:to>
    <xdr:graphicFrame macro="">
      <xdr:nvGraphicFramePr>
        <xdr:cNvPr id="1026" name="1 Gráfico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387803</xdr:colOff>
      <xdr:row>74</xdr:row>
      <xdr:rowOff>34017</xdr:rowOff>
    </xdr:from>
    <xdr:to>
      <xdr:col>7</xdr:col>
      <xdr:colOff>406235</xdr:colOff>
      <xdr:row>76</xdr:row>
      <xdr:rowOff>129267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3714" y="13675178"/>
          <a:ext cx="4638675" cy="4762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517072</xdr:colOff>
      <xdr:row>54</xdr:row>
      <xdr:rowOff>27215</xdr:rowOff>
    </xdr:from>
    <xdr:to>
      <xdr:col>8</xdr:col>
      <xdr:colOff>408215</xdr:colOff>
      <xdr:row>56</xdr:row>
      <xdr:rowOff>132482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6090" y="9844769"/>
          <a:ext cx="1646464" cy="48626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110093</xdr:colOff>
      <xdr:row>33</xdr:row>
      <xdr:rowOff>95251</xdr:rowOff>
    </xdr:from>
    <xdr:to>
      <xdr:col>8</xdr:col>
      <xdr:colOff>550715</xdr:colOff>
      <xdr:row>36</xdr:row>
      <xdr:rowOff>190410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5525" y="6477001"/>
          <a:ext cx="5099214" cy="66665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229218</xdr:colOff>
      <xdr:row>33</xdr:row>
      <xdr:rowOff>164522</xdr:rowOff>
    </xdr:from>
    <xdr:to>
      <xdr:col>18</xdr:col>
      <xdr:colOff>318655</xdr:colOff>
      <xdr:row>42</xdr:row>
      <xdr:rowOff>146832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B9B70A61-1A13-42D8-B9C4-38975AAF3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387803</xdr:colOff>
      <xdr:row>74</xdr:row>
      <xdr:rowOff>34017</xdr:rowOff>
    </xdr:from>
    <xdr:to>
      <xdr:col>7</xdr:col>
      <xdr:colOff>406235</xdr:colOff>
      <xdr:row>76</xdr:row>
      <xdr:rowOff>129267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26258C6A-14A8-458F-B137-8E30527B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403" y="14292942"/>
          <a:ext cx="4647582" cy="4762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517072</xdr:colOff>
      <xdr:row>54</xdr:row>
      <xdr:rowOff>27215</xdr:rowOff>
    </xdr:from>
    <xdr:to>
      <xdr:col>8</xdr:col>
      <xdr:colOff>408215</xdr:colOff>
      <xdr:row>56</xdr:row>
      <xdr:rowOff>132482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20A19AC9-9AD9-4349-AD5D-F25BCC3D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2" y="10457090"/>
          <a:ext cx="1643743" cy="48626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110093</xdr:colOff>
      <xdr:row>33</xdr:row>
      <xdr:rowOff>95251</xdr:rowOff>
    </xdr:from>
    <xdr:to>
      <xdr:col>8</xdr:col>
      <xdr:colOff>550715</xdr:colOff>
      <xdr:row>36</xdr:row>
      <xdr:rowOff>190410</xdr:rowOff>
    </xdr:to>
    <xdr:pic>
      <xdr:nvPicPr>
        <xdr:cNvPr id="5" name="5 Imagen">
          <a:extLst>
            <a:ext uri="{FF2B5EF4-FFF2-40B4-BE49-F238E27FC236}">
              <a16:creationId xmlns:a16="http://schemas.microsoft.com/office/drawing/2014/main" id="{3B1A4BCE-DE3B-4E9B-8E6E-D32A05B5F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1943" y="6486526"/>
          <a:ext cx="5107872" cy="66665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50"/>
  <sheetViews>
    <sheetView showGridLines="0" tabSelected="1" zoomScaleNormal="100" workbookViewId="0"/>
  </sheetViews>
  <sheetFormatPr defaultColWidth="11.42578125" defaultRowHeight="15" x14ac:dyDescent="0.25"/>
  <cols>
    <col min="1" max="1" width="15" style="2" bestFit="1" customWidth="1"/>
    <col min="2" max="2" width="22.7109375" style="2" customWidth="1"/>
    <col min="3" max="3" width="12.85546875" style="2" bestFit="1" customWidth="1"/>
    <col min="4" max="4" width="16.140625" style="2" customWidth="1"/>
    <col min="5" max="5" width="12.85546875" style="2" bestFit="1" customWidth="1"/>
    <col min="6" max="6" width="14.7109375" style="2" customWidth="1"/>
    <col min="7" max="7" width="12.85546875" style="2" bestFit="1" customWidth="1"/>
    <col min="8" max="8" width="13.42578125" style="2" customWidth="1"/>
    <col min="9" max="9" width="12.85546875" style="2" bestFit="1" customWidth="1"/>
    <col min="10" max="10" width="14" style="2" customWidth="1"/>
    <col min="11" max="14" width="13.85546875" style="2" bestFit="1" customWidth="1"/>
    <col min="15" max="16384" width="11.42578125" style="2"/>
  </cols>
  <sheetData>
    <row r="1" spans="2:12 16384:16384" x14ac:dyDescent="0.25">
      <c r="XFD1" s="2" t="s">
        <v>36</v>
      </c>
    </row>
    <row r="3" spans="2:12 16384:16384" ht="15.75" thickBot="1" x14ac:dyDescent="0.3">
      <c r="B3" s="1" t="s">
        <v>1</v>
      </c>
    </row>
    <row r="4" spans="2:12 16384:16384" ht="15.75" thickBot="1" x14ac:dyDescent="0.3">
      <c r="B4" s="3" t="s">
        <v>32</v>
      </c>
      <c r="C4" s="42">
        <v>6.0000000000000001E-3</v>
      </c>
      <c r="E4" s="1" t="s">
        <v>6</v>
      </c>
    </row>
    <row r="5" spans="2:12 16384:16384" x14ac:dyDescent="0.25">
      <c r="B5" s="4" t="s">
        <v>12</v>
      </c>
      <c r="C5" s="43">
        <v>0.4</v>
      </c>
      <c r="E5" s="5" t="s">
        <v>9</v>
      </c>
      <c r="F5" s="6">
        <v>2.5</v>
      </c>
      <c r="G5" s="7" t="s">
        <v>10</v>
      </c>
      <c r="H5" s="8">
        <v>9.5</v>
      </c>
    </row>
    <row r="6" spans="2:12 16384:16384" ht="15.75" thickBot="1" x14ac:dyDescent="0.3">
      <c r="B6" s="9" t="s">
        <v>13</v>
      </c>
      <c r="C6" s="13">
        <v>80</v>
      </c>
      <c r="E6" s="10" t="s">
        <v>7</v>
      </c>
      <c r="F6" s="11">
        <v>1.5</v>
      </c>
      <c r="G6" s="12" t="s">
        <v>8</v>
      </c>
      <c r="H6" s="13">
        <v>2</v>
      </c>
    </row>
    <row r="7" spans="2:12 16384:16384" x14ac:dyDescent="0.25">
      <c r="C7" s="17"/>
      <c r="F7" s="23" t="s">
        <v>31</v>
      </c>
      <c r="H7" s="23" t="s">
        <v>31</v>
      </c>
    </row>
    <row r="8" spans="2:12 16384:16384" ht="15.75" thickBot="1" x14ac:dyDescent="0.3">
      <c r="B8" s="1" t="s">
        <v>3</v>
      </c>
      <c r="F8" s="14"/>
    </row>
    <row r="9" spans="2:12 16384:16384" ht="15.75" thickBot="1" x14ac:dyDescent="0.3">
      <c r="B9" s="15" t="s">
        <v>2</v>
      </c>
      <c r="C9" s="44">
        <f>1/12</f>
        <v>8.3333333333333329E-2</v>
      </c>
    </row>
    <row r="10" spans="2:12 16384:16384" x14ac:dyDescent="0.25">
      <c r="B10" s="2" t="s">
        <v>14</v>
      </c>
      <c r="C10" s="45">
        <f>+EXP(-tipo*Deltat)</f>
        <v>0.99950012497916929</v>
      </c>
      <c r="F10" s="14"/>
    </row>
    <row r="11" spans="2:12 16384:16384" x14ac:dyDescent="0.25">
      <c r="C11" s="17"/>
    </row>
    <row r="12" spans="2:12 16384:16384" ht="15.75" thickBot="1" x14ac:dyDescent="0.3">
      <c r="B12" s="1" t="s">
        <v>4</v>
      </c>
      <c r="C12" s="17"/>
    </row>
    <row r="13" spans="2:12 16384:16384" x14ac:dyDescent="0.25">
      <c r="B13" s="51" t="s">
        <v>0</v>
      </c>
      <c r="C13" s="52">
        <v>0.5</v>
      </c>
      <c r="D13" s="16"/>
      <c r="J13" s="17" t="s">
        <v>26</v>
      </c>
      <c r="L13" s="2" t="s">
        <v>28</v>
      </c>
    </row>
    <row r="14" spans="2:12 16384:16384" x14ac:dyDescent="0.25">
      <c r="B14" s="53" t="s">
        <v>5</v>
      </c>
      <c r="C14" s="54">
        <f>EXP(tipo*Deltat)*EXP(vola*SQRT(Deltat))*2/(EXP(vola*SQRT(Deltat))+EXP(-vola*SQRT(Deltat)))</f>
        <v>1.1155171951556579</v>
      </c>
      <c r="D14" s="16"/>
      <c r="J14" s="17" t="s">
        <v>27</v>
      </c>
    </row>
    <row r="15" spans="2:12 16384:16384" ht="15.75" thickBot="1" x14ac:dyDescent="0.3">
      <c r="B15" s="55" t="s">
        <v>29</v>
      </c>
      <c r="C15" s="56">
        <f>EXP(tipo*Deltat)*EXP(-vola*SQRT(Deltat))*2/(EXP(vola*SQRT(Deltat))+EXP(-vola*SQRT(Deltat)))</f>
        <v>0.88548305488601364</v>
      </c>
      <c r="J15" s="18">
        <f>SUMPRODUCT(N20:N32,probs)*Descuento^12</f>
        <v>0</v>
      </c>
      <c r="L15" s="19" t="e">
        <f>SQRT(SUMPRODUCT(S20:S32^2,probs)-SUMPRODUCT(S20:S32,probs)^2)</f>
        <v>#NUM!</v>
      </c>
    </row>
    <row r="17" spans="2:19" ht="15.75" thickBot="1" x14ac:dyDescent="0.3">
      <c r="B17" s="1" t="s">
        <v>11</v>
      </c>
    </row>
    <row r="18" spans="2:19" ht="15.75" thickBot="1" x14ac:dyDescent="0.3">
      <c r="B18" s="20">
        <v>0</v>
      </c>
      <c r="C18" s="21">
        <v>1</v>
      </c>
      <c r="D18" s="21">
        <v>2</v>
      </c>
      <c r="E18" s="21">
        <v>3</v>
      </c>
      <c r="F18" s="21">
        <v>4</v>
      </c>
      <c r="G18" s="21">
        <v>5</v>
      </c>
      <c r="H18" s="21">
        <v>6</v>
      </c>
      <c r="I18" s="21">
        <v>7</v>
      </c>
      <c r="J18" s="21">
        <v>8</v>
      </c>
      <c r="K18" s="21">
        <v>9</v>
      </c>
      <c r="L18" s="21">
        <v>10</v>
      </c>
      <c r="M18" s="21">
        <v>11</v>
      </c>
      <c r="N18" s="22">
        <v>12</v>
      </c>
      <c r="P18" s="23" t="s">
        <v>16</v>
      </c>
      <c r="S18" s="2" t="s">
        <v>25</v>
      </c>
    </row>
    <row r="19" spans="2:19" ht="15.75" thickBot="1" x14ac:dyDescent="0.3">
      <c r="B19" s="34">
        <f t="shared" ref="B19:N19" si="0">B18*Deltat</f>
        <v>0</v>
      </c>
      <c r="C19" s="34">
        <f t="shared" si="0"/>
        <v>8.3333333333333329E-2</v>
      </c>
      <c r="D19" s="34">
        <f t="shared" si="0"/>
        <v>0.16666666666666666</v>
      </c>
      <c r="E19" s="34">
        <f t="shared" si="0"/>
        <v>0.25</v>
      </c>
      <c r="F19" s="34">
        <f t="shared" si="0"/>
        <v>0.33333333333333331</v>
      </c>
      <c r="G19" s="34">
        <f t="shared" si="0"/>
        <v>0.41666666666666663</v>
      </c>
      <c r="H19" s="34">
        <f t="shared" si="0"/>
        <v>0.5</v>
      </c>
      <c r="I19" s="34">
        <f t="shared" si="0"/>
        <v>0.58333333333333326</v>
      </c>
      <c r="J19" s="34">
        <f t="shared" si="0"/>
        <v>0.66666666666666663</v>
      </c>
      <c r="K19" s="34">
        <f t="shared" si="0"/>
        <v>0.75</v>
      </c>
      <c r="L19" s="34">
        <f t="shared" si="0"/>
        <v>0.83333333333333326</v>
      </c>
      <c r="M19" s="34">
        <f t="shared" si="0"/>
        <v>0.91666666666666663</v>
      </c>
      <c r="N19" s="34">
        <f t="shared" si="0"/>
        <v>1</v>
      </c>
      <c r="P19" s="23"/>
    </row>
    <row r="20" spans="2:19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24"/>
      <c r="P20" s="25">
        <f>BINOMDIST(Q20,12,p,FALSE)</f>
        <v>2.4414062500000016E-4</v>
      </c>
      <c r="Q20" s="2">
        <v>12</v>
      </c>
      <c r="S20" s="26" t="e">
        <f t="shared" ref="S20:S32" si="1">LN(N20/S0)</f>
        <v>#NUM!</v>
      </c>
    </row>
    <row r="21" spans="2:19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24"/>
      <c r="P21" s="27">
        <f t="shared" ref="P21:P32" si="2">BINOMDIST(Q21,12,p,FALSE)</f>
        <v>2.9296874999999996E-3</v>
      </c>
      <c r="Q21" s="2">
        <v>11</v>
      </c>
      <c r="S21" s="26" t="e">
        <f t="shared" si="1"/>
        <v>#NUM!</v>
      </c>
    </row>
    <row r="22" spans="2:19" x14ac:dyDescent="0.2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24"/>
      <c r="P22" s="27">
        <f t="shared" si="2"/>
        <v>1.6113281250000003E-2</v>
      </c>
      <c r="Q22" s="2">
        <v>10</v>
      </c>
      <c r="S22" s="26" t="e">
        <f t="shared" si="1"/>
        <v>#NUM!</v>
      </c>
    </row>
    <row r="23" spans="2:19" x14ac:dyDescent="0.2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24"/>
      <c r="P23" s="27">
        <f t="shared" si="2"/>
        <v>5.3710937499999965E-2</v>
      </c>
      <c r="Q23" s="2">
        <v>9</v>
      </c>
      <c r="S23" s="26" t="e">
        <f t="shared" si="1"/>
        <v>#NUM!</v>
      </c>
    </row>
    <row r="24" spans="2:19" x14ac:dyDescent="0.2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4"/>
      <c r="P24" s="27">
        <f t="shared" si="2"/>
        <v>0.12084960937500001</v>
      </c>
      <c r="Q24" s="2">
        <v>8</v>
      </c>
      <c r="S24" s="26" t="e">
        <f t="shared" si="1"/>
        <v>#NUM!</v>
      </c>
    </row>
    <row r="25" spans="2:19" x14ac:dyDescent="0.2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4"/>
      <c r="P25" s="27">
        <f t="shared" si="2"/>
        <v>0.19335937500000006</v>
      </c>
      <c r="Q25" s="2">
        <v>7</v>
      </c>
      <c r="S25" s="26" t="e">
        <f t="shared" si="1"/>
        <v>#NUM!</v>
      </c>
    </row>
    <row r="26" spans="2:19" x14ac:dyDescent="0.2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4"/>
      <c r="P26" s="27">
        <f t="shared" si="2"/>
        <v>0.22558593750000003</v>
      </c>
      <c r="Q26" s="2">
        <v>6</v>
      </c>
      <c r="S26" s="26" t="e">
        <f t="shared" si="1"/>
        <v>#NUM!</v>
      </c>
    </row>
    <row r="27" spans="2:19" x14ac:dyDescent="0.2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4"/>
      <c r="P27" s="27">
        <f t="shared" si="2"/>
        <v>0.19335937500000006</v>
      </c>
      <c r="Q27" s="2">
        <v>5</v>
      </c>
      <c r="S27" s="26" t="e">
        <f t="shared" si="1"/>
        <v>#NUM!</v>
      </c>
    </row>
    <row r="28" spans="2:19" x14ac:dyDescent="0.2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4"/>
      <c r="P28" s="27">
        <f t="shared" si="2"/>
        <v>0.12084960937500001</v>
      </c>
      <c r="Q28" s="2">
        <v>4</v>
      </c>
      <c r="S28" s="26" t="e">
        <f t="shared" si="1"/>
        <v>#NUM!</v>
      </c>
    </row>
    <row r="29" spans="2:19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4"/>
      <c r="P29" s="27">
        <f t="shared" si="2"/>
        <v>5.3710937499999965E-2</v>
      </c>
      <c r="Q29" s="2">
        <v>3</v>
      </c>
      <c r="S29" s="26" t="e">
        <f t="shared" si="1"/>
        <v>#NUM!</v>
      </c>
    </row>
    <row r="30" spans="2:19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4"/>
      <c r="P30" s="27">
        <f t="shared" si="2"/>
        <v>1.611328125000001E-2</v>
      </c>
      <c r="Q30" s="2">
        <v>2</v>
      </c>
      <c r="S30" s="26" t="e">
        <f t="shared" si="1"/>
        <v>#NUM!</v>
      </c>
    </row>
    <row r="31" spans="2:19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24"/>
      <c r="P31" s="27">
        <f t="shared" si="2"/>
        <v>2.9296874999999996E-3</v>
      </c>
      <c r="Q31" s="2">
        <v>1</v>
      </c>
      <c r="S31" s="26" t="e">
        <f t="shared" si="1"/>
        <v>#NUM!</v>
      </c>
    </row>
    <row r="32" spans="2:19" ht="15.75" thickBot="1" x14ac:dyDescent="0.3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24"/>
      <c r="P32" s="28">
        <f t="shared" si="2"/>
        <v>2.4414062500000016E-4</v>
      </c>
      <c r="Q32" s="2">
        <v>0</v>
      </c>
      <c r="S32" s="26" t="e">
        <f t="shared" si="1"/>
        <v>#NUM!</v>
      </c>
    </row>
    <row r="35" spans="2:19" x14ac:dyDescent="0.25">
      <c r="P35" s="23"/>
    </row>
    <row r="37" spans="2:19" ht="15.75" thickBot="1" x14ac:dyDescent="0.3">
      <c r="B37" s="1" t="s">
        <v>15</v>
      </c>
    </row>
    <row r="38" spans="2:19" ht="15.75" thickBot="1" x14ac:dyDescent="0.3">
      <c r="B38" s="20">
        <v>0</v>
      </c>
      <c r="C38" s="21">
        <v>1</v>
      </c>
      <c r="D38" s="21">
        <v>2</v>
      </c>
      <c r="E38" s="21">
        <v>3</v>
      </c>
      <c r="F38" s="21">
        <v>4</v>
      </c>
      <c r="G38" s="21">
        <v>5</v>
      </c>
      <c r="H38" s="21">
        <v>6</v>
      </c>
      <c r="I38" s="21">
        <v>7</v>
      </c>
      <c r="J38" s="21">
        <v>8</v>
      </c>
      <c r="K38" s="21">
        <v>9</v>
      </c>
      <c r="L38" s="21">
        <v>10</v>
      </c>
      <c r="M38" s="21">
        <v>11</v>
      </c>
      <c r="N38" s="22">
        <v>12</v>
      </c>
    </row>
    <row r="39" spans="2:19" x14ac:dyDescent="0.25">
      <c r="B39" s="34">
        <f t="shared" ref="B39:N39" si="3">B38*Deltat</f>
        <v>0</v>
      </c>
      <c r="C39" s="34">
        <f t="shared" si="3"/>
        <v>8.3333333333333329E-2</v>
      </c>
      <c r="D39" s="34">
        <f t="shared" si="3"/>
        <v>0.16666666666666666</v>
      </c>
      <c r="E39" s="34">
        <f t="shared" si="3"/>
        <v>0.25</v>
      </c>
      <c r="F39" s="34">
        <f t="shared" si="3"/>
        <v>0.33333333333333331</v>
      </c>
      <c r="G39" s="34">
        <f t="shared" si="3"/>
        <v>0.41666666666666663</v>
      </c>
      <c r="H39" s="34">
        <f t="shared" si="3"/>
        <v>0.5</v>
      </c>
      <c r="I39" s="34">
        <f t="shared" si="3"/>
        <v>0.58333333333333326</v>
      </c>
      <c r="J39" s="34">
        <f t="shared" si="3"/>
        <v>0.66666666666666663</v>
      </c>
      <c r="K39" s="34">
        <f t="shared" si="3"/>
        <v>0.75</v>
      </c>
      <c r="L39" s="34">
        <f t="shared" si="3"/>
        <v>0.83333333333333326</v>
      </c>
      <c r="M39" s="34">
        <f t="shared" si="3"/>
        <v>0.91666666666666663</v>
      </c>
      <c r="N39" s="34">
        <f t="shared" si="3"/>
        <v>1</v>
      </c>
    </row>
    <row r="40" spans="2:19" x14ac:dyDescent="0.2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  <row r="44" spans="2:19" ht="15.75" thickBot="1" x14ac:dyDescent="0.3">
      <c r="B44" s="1" t="s">
        <v>18</v>
      </c>
    </row>
    <row r="45" spans="2:19" ht="15.75" thickBot="1" x14ac:dyDescent="0.3">
      <c r="B45" s="31">
        <v>0</v>
      </c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32">
        <v>6</v>
      </c>
      <c r="I45" s="32">
        <v>7</v>
      </c>
      <c r="J45" s="32">
        <v>8</v>
      </c>
      <c r="K45" s="32">
        <v>9</v>
      </c>
      <c r="L45" s="32">
        <v>10</v>
      </c>
      <c r="M45" s="32">
        <v>11</v>
      </c>
      <c r="N45" s="33">
        <v>12</v>
      </c>
      <c r="S45" s="2" t="s">
        <v>25</v>
      </c>
    </row>
    <row r="46" spans="2:19" x14ac:dyDescent="0.25">
      <c r="B46" s="34">
        <f t="shared" ref="B46:N46" si="4">B45*Deltat</f>
        <v>0</v>
      </c>
      <c r="C46" s="34">
        <f t="shared" si="4"/>
        <v>8.3333333333333329E-2</v>
      </c>
      <c r="D46" s="34">
        <f t="shared" si="4"/>
        <v>0.16666666666666666</v>
      </c>
      <c r="E46" s="34">
        <f t="shared" si="4"/>
        <v>0.25</v>
      </c>
      <c r="F46" s="34">
        <f t="shared" si="4"/>
        <v>0.33333333333333331</v>
      </c>
      <c r="G46" s="34">
        <f t="shared" si="4"/>
        <v>0.41666666666666663</v>
      </c>
      <c r="H46" s="34">
        <f t="shared" si="4"/>
        <v>0.5</v>
      </c>
      <c r="I46" s="34">
        <f t="shared" si="4"/>
        <v>0.58333333333333326</v>
      </c>
      <c r="J46" s="34">
        <f t="shared" si="4"/>
        <v>0.66666666666666663</v>
      </c>
      <c r="K46" s="34">
        <f t="shared" si="4"/>
        <v>0.75</v>
      </c>
      <c r="L46" s="34">
        <f t="shared" si="4"/>
        <v>0.83333333333333326</v>
      </c>
      <c r="M46" s="34">
        <f t="shared" si="4"/>
        <v>0.91666666666666663</v>
      </c>
      <c r="N46" s="34">
        <f t="shared" si="4"/>
        <v>1</v>
      </c>
    </row>
    <row r="47" spans="2:19" x14ac:dyDescent="0.25">
      <c r="B47" s="48"/>
      <c r="C47" s="48"/>
      <c r="D47" s="48"/>
      <c r="E47" s="49"/>
      <c r="F47" s="48"/>
      <c r="G47" s="48"/>
      <c r="H47" s="48"/>
      <c r="I47" s="48"/>
      <c r="J47" s="48"/>
      <c r="K47" s="48"/>
      <c r="L47" s="48"/>
      <c r="M47" s="48"/>
      <c r="N47" s="48"/>
      <c r="S47" s="26" t="e">
        <f>LN(N47/S0)</f>
        <v>#NUM!</v>
      </c>
    </row>
    <row r="48" spans="2:19" x14ac:dyDescent="0.25">
      <c r="B48" s="35"/>
      <c r="C48" s="48"/>
      <c r="D48" s="48"/>
      <c r="E48" s="49"/>
      <c r="F48" s="48"/>
      <c r="G48" s="48"/>
      <c r="H48" s="48"/>
      <c r="I48" s="48"/>
      <c r="J48" s="48"/>
      <c r="K48" s="48"/>
      <c r="L48" s="48"/>
      <c r="M48" s="48"/>
      <c r="N48" s="48"/>
      <c r="S48" s="26" t="e">
        <f t="shared" ref="S48:S59" si="5">LN(N48/S0)</f>
        <v>#NUM!</v>
      </c>
    </row>
    <row r="49" spans="2:19" x14ac:dyDescent="0.25">
      <c r="B49" s="35"/>
      <c r="C49" s="35"/>
      <c r="D49" s="48"/>
      <c r="E49" s="49"/>
      <c r="F49" s="48"/>
      <c r="G49" s="48"/>
      <c r="H49" s="48"/>
      <c r="I49" s="48"/>
      <c r="J49" s="48"/>
      <c r="K49" s="48"/>
      <c r="L49" s="48"/>
      <c r="M49" s="48"/>
      <c r="N49" s="48"/>
      <c r="S49" s="26" t="e">
        <f t="shared" si="5"/>
        <v>#NUM!</v>
      </c>
    </row>
    <row r="50" spans="2:19" x14ac:dyDescent="0.25">
      <c r="B50" s="35"/>
      <c r="C50" s="35"/>
      <c r="D50" s="35"/>
      <c r="E50" s="49"/>
      <c r="F50" s="48"/>
      <c r="G50" s="48"/>
      <c r="H50" s="48"/>
      <c r="I50" s="48"/>
      <c r="J50" s="48"/>
      <c r="K50" s="48"/>
      <c r="L50" s="48"/>
      <c r="M50" s="48"/>
      <c r="N50" s="48"/>
      <c r="S50" s="26" t="e">
        <f t="shared" si="5"/>
        <v>#NUM!</v>
      </c>
    </row>
    <row r="51" spans="2:19" x14ac:dyDescent="0.25">
      <c r="B51" s="35"/>
      <c r="C51" s="35"/>
      <c r="D51" s="35"/>
      <c r="E51" s="35"/>
      <c r="F51" s="48"/>
      <c r="G51" s="48"/>
      <c r="H51" s="48"/>
      <c r="I51" s="48"/>
      <c r="J51" s="48"/>
      <c r="K51" s="48"/>
      <c r="L51" s="48"/>
      <c r="M51" s="48"/>
      <c r="N51" s="48"/>
      <c r="S51" s="26" t="e">
        <f t="shared" si="5"/>
        <v>#NUM!</v>
      </c>
    </row>
    <row r="52" spans="2:19" x14ac:dyDescent="0.25">
      <c r="B52" s="35"/>
      <c r="C52" s="35"/>
      <c r="D52" s="35"/>
      <c r="E52" s="35"/>
      <c r="F52" s="35"/>
      <c r="G52" s="48"/>
      <c r="H52" s="48"/>
      <c r="I52" s="48"/>
      <c r="J52" s="48"/>
      <c r="K52" s="48"/>
      <c r="L52" s="48"/>
      <c r="M52" s="48"/>
      <c r="N52" s="48"/>
      <c r="S52" s="26" t="e">
        <f t="shared" si="5"/>
        <v>#NUM!</v>
      </c>
    </row>
    <row r="53" spans="2:19" x14ac:dyDescent="0.25">
      <c r="B53" s="35" t="s">
        <v>26</v>
      </c>
      <c r="C53" s="35"/>
      <c r="D53" s="35" t="s">
        <v>28</v>
      </c>
      <c r="E53" s="35"/>
      <c r="F53" s="35"/>
      <c r="G53" s="35"/>
      <c r="H53" s="48"/>
      <c r="I53" s="48"/>
      <c r="J53" s="48"/>
      <c r="K53" s="48"/>
      <c r="L53" s="48"/>
      <c r="M53" s="48"/>
      <c r="N53" s="48"/>
      <c r="S53" s="26" t="e">
        <f t="shared" si="5"/>
        <v>#NUM!</v>
      </c>
    </row>
    <row r="54" spans="2:19" x14ac:dyDescent="0.25">
      <c r="B54" s="35" t="s">
        <v>27</v>
      </c>
      <c r="C54" s="35"/>
      <c r="D54" s="35"/>
      <c r="E54" s="35"/>
      <c r="F54" s="35"/>
      <c r="G54" s="35"/>
      <c r="H54" s="35"/>
      <c r="I54" s="48"/>
      <c r="J54" s="48"/>
      <c r="K54" s="48"/>
      <c r="L54" s="48"/>
      <c r="M54" s="48"/>
      <c r="N54" s="48"/>
      <c r="S54" s="26" t="e">
        <f t="shared" si="5"/>
        <v>#NUM!</v>
      </c>
    </row>
    <row r="55" spans="2:19" x14ac:dyDescent="0.25">
      <c r="B55" s="35">
        <f>SUMPRODUCT(N47:N59,P20:P32)*Descuento^12</f>
        <v>0</v>
      </c>
      <c r="C55" s="35"/>
      <c r="D55" s="50" t="e">
        <f>SQRT(SUMPRODUCT(S47:S59^2,probs)-SUMPRODUCT(S47:S59,probs)^2)</f>
        <v>#NUM!</v>
      </c>
      <c r="E55" s="35"/>
      <c r="F55" s="35"/>
      <c r="G55" s="35"/>
      <c r="H55" s="35"/>
      <c r="I55" s="35"/>
      <c r="J55" s="48"/>
      <c r="K55" s="48"/>
      <c r="L55" s="48"/>
      <c r="M55" s="48"/>
      <c r="N55" s="48"/>
      <c r="S55" s="26" t="e">
        <f t="shared" si="5"/>
        <v>#NUM!</v>
      </c>
    </row>
    <row r="56" spans="2:19" x14ac:dyDescent="0.25">
      <c r="B56" s="35"/>
      <c r="C56" s="35"/>
      <c r="D56" s="35"/>
      <c r="E56" s="35"/>
      <c r="F56" s="35"/>
      <c r="G56" s="35"/>
      <c r="H56" s="35"/>
      <c r="I56" s="35"/>
      <c r="J56" s="35"/>
      <c r="K56" s="48"/>
      <c r="L56" s="48"/>
      <c r="M56" s="48"/>
      <c r="N56" s="48"/>
      <c r="S56" s="26" t="e">
        <f t="shared" si="5"/>
        <v>#NUM!</v>
      </c>
    </row>
    <row r="57" spans="2:19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48"/>
      <c r="M57" s="48"/>
      <c r="N57" s="48"/>
      <c r="S57" s="26" t="e">
        <f t="shared" si="5"/>
        <v>#NUM!</v>
      </c>
    </row>
    <row r="58" spans="2:19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48"/>
      <c r="N58" s="48"/>
      <c r="S58" s="26" t="e">
        <f t="shared" si="5"/>
        <v>#NUM!</v>
      </c>
    </row>
    <row r="59" spans="2:19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48"/>
      <c r="S59" s="26" t="e">
        <f t="shared" si="5"/>
        <v>#NUM!</v>
      </c>
    </row>
    <row r="62" spans="2:19" ht="15.75" thickBot="1" x14ac:dyDescent="0.3">
      <c r="B62" s="1" t="s">
        <v>17</v>
      </c>
    </row>
    <row r="63" spans="2:19" ht="15.75" thickBot="1" x14ac:dyDescent="0.3">
      <c r="B63" s="20">
        <v>0</v>
      </c>
      <c r="C63" s="21">
        <v>1</v>
      </c>
      <c r="D63" s="21">
        <v>2</v>
      </c>
      <c r="E63" s="21">
        <v>3</v>
      </c>
      <c r="F63" s="21">
        <v>4</v>
      </c>
      <c r="G63" s="21">
        <v>5</v>
      </c>
      <c r="H63" s="21">
        <v>6</v>
      </c>
      <c r="I63" s="21">
        <v>7</v>
      </c>
      <c r="J63" s="21">
        <v>8</v>
      </c>
      <c r="K63" s="21">
        <v>9</v>
      </c>
      <c r="L63" s="21">
        <v>10</v>
      </c>
      <c r="M63" s="21">
        <v>11</v>
      </c>
      <c r="N63" s="22">
        <v>12</v>
      </c>
    </row>
    <row r="64" spans="2:19" x14ac:dyDescent="0.25">
      <c r="B64" s="34">
        <f t="shared" ref="B64:N64" si="6">B63*Deltat</f>
        <v>0</v>
      </c>
      <c r="C64" s="34">
        <f t="shared" si="6"/>
        <v>8.3333333333333329E-2</v>
      </c>
      <c r="D64" s="34">
        <f t="shared" si="6"/>
        <v>0.16666666666666666</v>
      </c>
      <c r="E64" s="34">
        <f t="shared" si="6"/>
        <v>0.25</v>
      </c>
      <c r="F64" s="34">
        <f t="shared" si="6"/>
        <v>0.33333333333333331</v>
      </c>
      <c r="G64" s="34">
        <f t="shared" si="6"/>
        <v>0.41666666666666663</v>
      </c>
      <c r="H64" s="34">
        <f t="shared" si="6"/>
        <v>0.5</v>
      </c>
      <c r="I64" s="34">
        <f t="shared" si="6"/>
        <v>0.58333333333333326</v>
      </c>
      <c r="J64" s="34">
        <f t="shared" si="6"/>
        <v>0.66666666666666663</v>
      </c>
      <c r="K64" s="34">
        <f t="shared" si="6"/>
        <v>0.75</v>
      </c>
      <c r="L64" s="34">
        <f t="shared" si="6"/>
        <v>0.83333333333333326</v>
      </c>
      <c r="M64" s="34">
        <f t="shared" si="6"/>
        <v>0.91666666666666663</v>
      </c>
      <c r="N64" s="34">
        <f t="shared" si="6"/>
        <v>1</v>
      </c>
    </row>
    <row r="65" spans="2:14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2:14" x14ac:dyDescent="0.2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2:14" x14ac:dyDescent="0.2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2:14" x14ac:dyDescent="0.2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2:14" x14ac:dyDescent="0.2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2:14" x14ac:dyDescent="0.25">
      <c r="B70" s="36" t="s">
        <v>30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2:14" x14ac:dyDescent="0.25">
      <c r="B71" s="35">
        <f>SUMPRODUCT(N65:N77,P20:P32)*Descuento^12</f>
        <v>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2:14" x14ac:dyDescent="0.2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2:14" x14ac:dyDescent="0.2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2:14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2:14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2:14" x14ac:dyDescent="0.25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2:14" x14ac:dyDescent="0.25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9" spans="2:14" ht="15.75" thickBot="1" x14ac:dyDescent="0.3"/>
    <row r="80" spans="2:14" ht="15.75" thickBot="1" x14ac:dyDescent="0.3">
      <c r="B80" s="20">
        <v>0</v>
      </c>
      <c r="C80" s="21">
        <v>1</v>
      </c>
      <c r="D80" s="21">
        <v>2</v>
      </c>
      <c r="E80" s="21">
        <v>3</v>
      </c>
      <c r="F80" s="21">
        <v>4</v>
      </c>
      <c r="G80" s="21">
        <v>5</v>
      </c>
      <c r="H80" s="21">
        <v>6</v>
      </c>
      <c r="I80" s="21">
        <v>7</v>
      </c>
      <c r="J80" s="21">
        <v>8</v>
      </c>
      <c r="K80" s="21">
        <v>9</v>
      </c>
      <c r="L80" s="21">
        <v>10</v>
      </c>
      <c r="M80" s="21">
        <v>11</v>
      </c>
      <c r="N80" s="22">
        <v>12</v>
      </c>
    </row>
    <row r="81" spans="1:14" x14ac:dyDescent="0.25">
      <c r="C81" s="17">
        <f t="shared" ref="C81:N81" ca="1" si="7">IF(RAND()&lt;p,0,1)</f>
        <v>1</v>
      </c>
      <c r="D81" s="17">
        <f t="shared" ca="1" si="7"/>
        <v>0</v>
      </c>
      <c r="E81" s="17">
        <f t="shared" ca="1" si="7"/>
        <v>0</v>
      </c>
      <c r="F81" s="17">
        <f t="shared" ca="1" si="7"/>
        <v>0</v>
      </c>
      <c r="G81" s="17">
        <f t="shared" ca="1" si="7"/>
        <v>0</v>
      </c>
      <c r="H81" s="17">
        <f t="shared" ca="1" si="7"/>
        <v>1</v>
      </c>
      <c r="I81" s="17">
        <f t="shared" ca="1" si="7"/>
        <v>0</v>
      </c>
      <c r="J81" s="17">
        <f t="shared" ca="1" si="7"/>
        <v>0</v>
      </c>
      <c r="K81" s="17">
        <f t="shared" ca="1" si="7"/>
        <v>1</v>
      </c>
      <c r="L81" s="17">
        <f t="shared" ca="1" si="7"/>
        <v>1</v>
      </c>
      <c r="M81" s="17">
        <f t="shared" ca="1" si="7"/>
        <v>0</v>
      </c>
      <c r="N81" s="17">
        <f t="shared" ca="1" si="7"/>
        <v>1</v>
      </c>
    </row>
    <row r="82" spans="1:14" x14ac:dyDescent="0.25">
      <c r="C82" s="17" t="str">
        <f ca="1">IF(C81=0,"sube","baja")</f>
        <v>baja</v>
      </c>
      <c r="D82" s="17" t="str">
        <f t="shared" ref="D82:N82" ca="1" si="8">IF(D81=0,"sube","baja")</f>
        <v>sube</v>
      </c>
      <c r="E82" s="17" t="str">
        <f t="shared" ca="1" si="8"/>
        <v>sube</v>
      </c>
      <c r="F82" s="17" t="str">
        <f t="shared" ca="1" si="8"/>
        <v>sube</v>
      </c>
      <c r="G82" s="17" t="str">
        <f t="shared" ca="1" si="8"/>
        <v>sube</v>
      </c>
      <c r="H82" s="17" t="str">
        <f t="shared" ca="1" si="8"/>
        <v>baja</v>
      </c>
      <c r="I82" s="17" t="str">
        <f t="shared" ca="1" si="8"/>
        <v>sube</v>
      </c>
      <c r="J82" s="17" t="str">
        <f t="shared" ca="1" si="8"/>
        <v>sube</v>
      </c>
      <c r="K82" s="17" t="str">
        <f t="shared" ca="1" si="8"/>
        <v>baja</v>
      </c>
      <c r="L82" s="17" t="str">
        <f t="shared" ca="1" si="8"/>
        <v>baja</v>
      </c>
      <c r="M82" s="17" t="str">
        <f t="shared" ca="1" si="8"/>
        <v>sube</v>
      </c>
      <c r="N82" s="17" t="str">
        <f t="shared" ca="1" si="8"/>
        <v>baja</v>
      </c>
    </row>
    <row r="83" spans="1:14" x14ac:dyDescent="0.25">
      <c r="C83" s="17">
        <f ca="1">SUM($C$81:C81)</f>
        <v>1</v>
      </c>
      <c r="D83" s="17">
        <f ca="1">SUM($C$81:D81)</f>
        <v>1</v>
      </c>
      <c r="E83" s="17">
        <f ca="1">SUM($C$81:E81)</f>
        <v>1</v>
      </c>
      <c r="F83" s="17">
        <f ca="1">SUM($C$81:F81)</f>
        <v>1</v>
      </c>
      <c r="G83" s="17">
        <f ca="1">SUM($C$81:G81)</f>
        <v>1</v>
      </c>
      <c r="H83" s="17">
        <f ca="1">SUM($C$81:H81)</f>
        <v>2</v>
      </c>
      <c r="I83" s="17">
        <f ca="1">SUM($C$81:I81)</f>
        <v>2</v>
      </c>
      <c r="J83" s="17">
        <f ca="1">SUM($C$81:J81)</f>
        <v>2</v>
      </c>
      <c r="K83" s="17">
        <f ca="1">SUM($C$81:K81)</f>
        <v>3</v>
      </c>
      <c r="L83" s="17">
        <f ca="1">SUM($C$81:L81)</f>
        <v>4</v>
      </c>
      <c r="M83" s="17">
        <f ca="1">SUM($C$81:M81)</f>
        <v>4</v>
      </c>
      <c r="N83" s="17">
        <f ca="1">SUM($C$81:N81)</f>
        <v>5</v>
      </c>
    </row>
    <row r="84" spans="1:14" x14ac:dyDescent="0.25">
      <c r="A84" s="2" t="s">
        <v>33</v>
      </c>
      <c r="B84" s="35">
        <f>B20</f>
        <v>0</v>
      </c>
      <c r="C84" s="35">
        <f ca="1">OFFSET(C20,C83,0)</f>
        <v>0</v>
      </c>
      <c r="D84" s="35">
        <f t="shared" ref="D84:N84" ca="1" si="9">OFFSET(D20,D83,0)</f>
        <v>0</v>
      </c>
      <c r="E84" s="35">
        <f t="shared" ca="1" si="9"/>
        <v>0</v>
      </c>
      <c r="F84" s="35">
        <f t="shared" ca="1" si="9"/>
        <v>0</v>
      </c>
      <c r="G84" s="35">
        <f t="shared" ca="1" si="9"/>
        <v>0</v>
      </c>
      <c r="H84" s="35">
        <f t="shared" ca="1" si="9"/>
        <v>0</v>
      </c>
      <c r="I84" s="35">
        <f t="shared" ca="1" si="9"/>
        <v>0</v>
      </c>
      <c r="J84" s="35">
        <f t="shared" ca="1" si="9"/>
        <v>0</v>
      </c>
      <c r="K84" s="35">
        <f t="shared" ca="1" si="9"/>
        <v>0</v>
      </c>
      <c r="L84" s="47">
        <f t="shared" ca="1" si="9"/>
        <v>0</v>
      </c>
      <c r="M84" s="47">
        <f t="shared" ca="1" si="9"/>
        <v>0</v>
      </c>
      <c r="N84" s="47">
        <f t="shared" ca="1" si="9"/>
        <v>0</v>
      </c>
    </row>
    <row r="85" spans="1:14" x14ac:dyDescent="0.25">
      <c r="A85" s="2" t="s">
        <v>34</v>
      </c>
      <c r="B85" s="47">
        <f>B47</f>
        <v>0</v>
      </c>
      <c r="C85" s="47">
        <f ca="1">OFFSET(C47,C83,0)</f>
        <v>0</v>
      </c>
      <c r="D85" s="47">
        <f t="shared" ref="D85:N85" ca="1" si="10">OFFSET(D47,D83,0)</f>
        <v>0</v>
      </c>
      <c r="E85" s="46">
        <f t="shared" ca="1" si="10"/>
        <v>0</v>
      </c>
      <c r="F85" s="46">
        <f t="shared" ca="1" si="10"/>
        <v>0</v>
      </c>
      <c r="G85" s="46">
        <f t="shared" ca="1" si="10"/>
        <v>0</v>
      </c>
      <c r="H85" s="46">
        <f t="shared" ca="1" si="10"/>
        <v>0</v>
      </c>
      <c r="I85" s="46">
        <f t="shared" ca="1" si="10"/>
        <v>0</v>
      </c>
      <c r="J85" s="46">
        <f t="shared" ca="1" si="10"/>
        <v>0</v>
      </c>
      <c r="K85" s="46">
        <f t="shared" ca="1" si="10"/>
        <v>0</v>
      </c>
      <c r="L85" s="47">
        <f t="shared" ca="1" si="10"/>
        <v>0</v>
      </c>
      <c r="M85" s="47">
        <f t="shared" ca="1" si="10"/>
        <v>0</v>
      </c>
      <c r="N85" s="47">
        <f t="shared" ca="1" si="10"/>
        <v>0</v>
      </c>
    </row>
    <row r="86" spans="1:14" x14ac:dyDescent="0.25">
      <c r="A86" s="2" t="s">
        <v>35</v>
      </c>
      <c r="B86" s="47">
        <f>B65</f>
        <v>0</v>
      </c>
      <c r="C86" s="47">
        <f ca="1">OFFSET(C65,C83,0)</f>
        <v>0</v>
      </c>
      <c r="D86" s="47">
        <f t="shared" ref="D86:N86" ca="1" si="11">OFFSET(D65,D83,0)</f>
        <v>0</v>
      </c>
      <c r="E86" s="35">
        <f t="shared" ca="1" si="11"/>
        <v>0</v>
      </c>
      <c r="F86" s="35">
        <f t="shared" ca="1" si="11"/>
        <v>0</v>
      </c>
      <c r="G86" s="35">
        <f t="shared" ca="1" si="11"/>
        <v>0</v>
      </c>
      <c r="H86" s="35">
        <f t="shared" ca="1" si="11"/>
        <v>0</v>
      </c>
      <c r="I86" s="35">
        <f t="shared" ca="1" si="11"/>
        <v>0</v>
      </c>
      <c r="J86" s="35">
        <f t="shared" ca="1" si="11"/>
        <v>0</v>
      </c>
      <c r="K86" s="35">
        <f t="shared" ca="1" si="11"/>
        <v>0</v>
      </c>
      <c r="L86" s="35">
        <f t="shared" ca="1" si="11"/>
        <v>0</v>
      </c>
      <c r="M86" s="35">
        <f t="shared" ca="1" si="11"/>
        <v>0</v>
      </c>
      <c r="N86" s="35">
        <f t="shared" ca="1" si="11"/>
        <v>0</v>
      </c>
    </row>
    <row r="87" spans="1:14" x14ac:dyDescent="0.25">
      <c r="A87" s="2" t="s">
        <v>6</v>
      </c>
      <c r="B87" s="35">
        <f>B40</f>
        <v>0</v>
      </c>
      <c r="C87" s="35">
        <f t="shared" ref="C87:N87" si="12">C40</f>
        <v>0</v>
      </c>
      <c r="D87" s="35">
        <f t="shared" si="12"/>
        <v>0</v>
      </c>
      <c r="E87" s="35">
        <f t="shared" si="12"/>
        <v>0</v>
      </c>
      <c r="F87" s="35">
        <f t="shared" si="12"/>
        <v>0</v>
      </c>
      <c r="G87" s="35">
        <f t="shared" si="12"/>
        <v>0</v>
      </c>
      <c r="H87" s="35">
        <f t="shared" si="12"/>
        <v>0</v>
      </c>
      <c r="I87" s="35">
        <f t="shared" si="12"/>
        <v>0</v>
      </c>
      <c r="J87" s="35">
        <f t="shared" si="12"/>
        <v>0</v>
      </c>
      <c r="K87" s="35">
        <f t="shared" si="12"/>
        <v>0</v>
      </c>
      <c r="L87" s="35">
        <f t="shared" si="12"/>
        <v>0</v>
      </c>
      <c r="M87" s="35">
        <f t="shared" si="12"/>
        <v>0</v>
      </c>
      <c r="N87" s="35">
        <f t="shared" si="12"/>
        <v>0</v>
      </c>
    </row>
    <row r="91" spans="1:14" x14ac:dyDescent="0.25">
      <c r="B91" s="1" t="s">
        <v>19</v>
      </c>
    </row>
    <row r="92" spans="1:14" x14ac:dyDescent="0.25">
      <c r="B92" s="29" t="s">
        <v>21</v>
      </c>
      <c r="C92" s="2">
        <v>1</v>
      </c>
    </row>
    <row r="93" spans="1:14" x14ac:dyDescent="0.25">
      <c r="B93" s="29" t="s">
        <v>22</v>
      </c>
      <c r="C93" s="2">
        <v>84</v>
      </c>
    </row>
    <row r="95" spans="1:14" ht="15.75" thickBot="1" x14ac:dyDescent="0.3">
      <c r="B95" s="30" t="s">
        <v>20</v>
      </c>
    </row>
    <row r="96" spans="1:14" ht="15.75" thickBot="1" x14ac:dyDescent="0.3">
      <c r="B96" s="20">
        <v>0</v>
      </c>
      <c r="C96" s="21">
        <v>1</v>
      </c>
      <c r="D96" s="21">
        <v>2</v>
      </c>
      <c r="E96" s="21">
        <v>3</v>
      </c>
      <c r="F96" s="21">
        <v>4</v>
      </c>
      <c r="G96" s="21">
        <v>5</v>
      </c>
      <c r="H96" s="21">
        <v>6</v>
      </c>
      <c r="I96" s="21">
        <v>7</v>
      </c>
      <c r="J96" s="21">
        <v>8</v>
      </c>
      <c r="K96" s="21">
        <v>9</v>
      </c>
      <c r="L96" s="21">
        <v>10</v>
      </c>
      <c r="M96" s="21">
        <v>11</v>
      </c>
      <c r="N96" s="22">
        <v>12</v>
      </c>
    </row>
    <row r="97" spans="2:14" ht="15.75" thickBot="1" x14ac:dyDescent="0.3">
      <c r="B97" s="38">
        <f t="shared" ref="B97:L97" si="13">MAX(MAX(strike-B47,0),Descuento*(p*C97+(1-p)*C98))</f>
        <v>84</v>
      </c>
      <c r="C97" s="35">
        <f t="shared" si="13"/>
        <v>84</v>
      </c>
      <c r="D97" s="35">
        <f t="shared" si="13"/>
        <v>84</v>
      </c>
      <c r="E97" s="35">
        <f t="shared" si="13"/>
        <v>84</v>
      </c>
      <c r="F97" s="35">
        <f t="shared" si="13"/>
        <v>84</v>
      </c>
      <c r="G97" s="35">
        <f t="shared" si="13"/>
        <v>84</v>
      </c>
      <c r="H97" s="35">
        <f t="shared" si="13"/>
        <v>84</v>
      </c>
      <c r="I97" s="35">
        <f t="shared" si="13"/>
        <v>84</v>
      </c>
      <c r="J97" s="35">
        <f t="shared" si="13"/>
        <v>84</v>
      </c>
      <c r="K97" s="35">
        <f t="shared" si="13"/>
        <v>84</v>
      </c>
      <c r="L97" s="35">
        <f t="shared" si="13"/>
        <v>84</v>
      </c>
      <c r="M97" s="35">
        <f>MAX(MAX(strike-M47,0),Descuento*(p*N97+(1-p)*N98))</f>
        <v>84</v>
      </c>
      <c r="N97" s="39">
        <f t="shared" ref="N97:N109" si="14">MAX(strike-N47,0)</f>
        <v>84</v>
      </c>
    </row>
    <row r="98" spans="2:14" ht="15.75" thickBot="1" x14ac:dyDescent="0.3">
      <c r="B98" s="35"/>
      <c r="C98" s="40">
        <f t="shared" ref="C98:M98" si="15">MAX(MAX(strike-C48,0),Descuento*(p*D98+(1-p)*D99))</f>
        <v>84</v>
      </c>
      <c r="D98" s="35">
        <f t="shared" si="15"/>
        <v>84</v>
      </c>
      <c r="E98" s="35">
        <f t="shared" si="15"/>
        <v>84</v>
      </c>
      <c r="F98" s="35">
        <f t="shared" si="15"/>
        <v>84</v>
      </c>
      <c r="G98" s="35">
        <f t="shared" si="15"/>
        <v>84</v>
      </c>
      <c r="H98" s="35">
        <f t="shared" si="15"/>
        <v>84</v>
      </c>
      <c r="I98" s="35">
        <f t="shared" si="15"/>
        <v>84</v>
      </c>
      <c r="J98" s="35">
        <f t="shared" si="15"/>
        <v>84</v>
      </c>
      <c r="K98" s="35">
        <f t="shared" si="15"/>
        <v>84</v>
      </c>
      <c r="L98" s="35">
        <f t="shared" si="15"/>
        <v>84</v>
      </c>
      <c r="M98" s="35">
        <f t="shared" si="15"/>
        <v>84</v>
      </c>
      <c r="N98" s="39">
        <f t="shared" si="14"/>
        <v>84</v>
      </c>
    </row>
    <row r="99" spans="2:14" ht="15.75" thickBot="1" x14ac:dyDescent="0.3">
      <c r="B99" s="35"/>
      <c r="C99" s="35"/>
      <c r="D99" s="40">
        <f t="shared" ref="D99:M99" si="16">MAX(MAX(strike-D49,0),Descuento*(p*E99+(1-p)*E100))</f>
        <v>84</v>
      </c>
      <c r="E99" s="35">
        <f t="shared" si="16"/>
        <v>84</v>
      </c>
      <c r="F99" s="35">
        <f t="shared" si="16"/>
        <v>84</v>
      </c>
      <c r="G99" s="35">
        <f t="shared" si="16"/>
        <v>84</v>
      </c>
      <c r="H99" s="35">
        <f t="shared" si="16"/>
        <v>84</v>
      </c>
      <c r="I99" s="35">
        <f t="shared" si="16"/>
        <v>84</v>
      </c>
      <c r="J99" s="35">
        <f t="shared" si="16"/>
        <v>84</v>
      </c>
      <c r="K99" s="35">
        <f t="shared" si="16"/>
        <v>84</v>
      </c>
      <c r="L99" s="35">
        <f t="shared" si="16"/>
        <v>84</v>
      </c>
      <c r="M99" s="35">
        <f t="shared" si="16"/>
        <v>84</v>
      </c>
      <c r="N99" s="39">
        <f t="shared" si="14"/>
        <v>84</v>
      </c>
    </row>
    <row r="100" spans="2:14" ht="15.75" thickBot="1" x14ac:dyDescent="0.3">
      <c r="B100" s="35"/>
      <c r="C100" s="35"/>
      <c r="D100" s="35"/>
      <c r="E100" s="40">
        <f t="shared" ref="E100:M100" si="17">MAX(MAX(strike-E50,0),Descuento*(p*F100+(1-p)*F101))</f>
        <v>84</v>
      </c>
      <c r="F100" s="35">
        <f t="shared" si="17"/>
        <v>84</v>
      </c>
      <c r="G100" s="35">
        <f t="shared" si="17"/>
        <v>84</v>
      </c>
      <c r="H100" s="35">
        <f t="shared" si="17"/>
        <v>84</v>
      </c>
      <c r="I100" s="35">
        <f t="shared" si="17"/>
        <v>84</v>
      </c>
      <c r="J100" s="35">
        <f t="shared" si="17"/>
        <v>84</v>
      </c>
      <c r="K100" s="35">
        <f t="shared" si="17"/>
        <v>84</v>
      </c>
      <c r="L100" s="35">
        <f t="shared" si="17"/>
        <v>84</v>
      </c>
      <c r="M100" s="35">
        <f t="shared" si="17"/>
        <v>84</v>
      </c>
      <c r="N100" s="39">
        <f t="shared" si="14"/>
        <v>84</v>
      </c>
    </row>
    <row r="101" spans="2:14" ht="15.75" thickBot="1" x14ac:dyDescent="0.3">
      <c r="B101" s="35"/>
      <c r="C101" s="35"/>
      <c r="D101" s="35"/>
      <c r="E101" s="35"/>
      <c r="F101" s="40">
        <f t="shared" ref="F101:M101" si="18">MAX(MAX(strike-F51,0),Descuento*(p*G101+(1-p)*G102))</f>
        <v>84</v>
      </c>
      <c r="G101" s="35">
        <f t="shared" si="18"/>
        <v>84</v>
      </c>
      <c r="H101" s="35">
        <f t="shared" si="18"/>
        <v>84</v>
      </c>
      <c r="I101" s="35">
        <f t="shared" si="18"/>
        <v>84</v>
      </c>
      <c r="J101" s="35">
        <f t="shared" si="18"/>
        <v>84</v>
      </c>
      <c r="K101" s="35">
        <f t="shared" si="18"/>
        <v>84</v>
      </c>
      <c r="L101" s="35">
        <f t="shared" si="18"/>
        <v>84</v>
      </c>
      <c r="M101" s="35">
        <f t="shared" si="18"/>
        <v>84</v>
      </c>
      <c r="N101" s="39">
        <f t="shared" si="14"/>
        <v>84</v>
      </c>
    </row>
    <row r="102" spans="2:14" ht="15.75" thickBot="1" x14ac:dyDescent="0.3">
      <c r="B102" s="35"/>
      <c r="C102" s="35"/>
      <c r="D102" s="35"/>
      <c r="E102" s="35"/>
      <c r="F102" s="35"/>
      <c r="G102" s="40">
        <f t="shared" ref="G102:M102" si="19">MAX(MAX(strike-G52,0),Descuento*(p*H102+(1-p)*H103))</f>
        <v>84</v>
      </c>
      <c r="H102" s="35">
        <f t="shared" si="19"/>
        <v>84</v>
      </c>
      <c r="I102" s="35">
        <f t="shared" si="19"/>
        <v>84</v>
      </c>
      <c r="J102" s="35">
        <f t="shared" si="19"/>
        <v>84</v>
      </c>
      <c r="K102" s="35">
        <f t="shared" si="19"/>
        <v>84</v>
      </c>
      <c r="L102" s="35">
        <f t="shared" si="19"/>
        <v>84</v>
      </c>
      <c r="M102" s="35">
        <f t="shared" si="19"/>
        <v>84</v>
      </c>
      <c r="N102" s="39">
        <f t="shared" si="14"/>
        <v>84</v>
      </c>
    </row>
    <row r="103" spans="2:14" ht="15.75" thickBot="1" x14ac:dyDescent="0.3">
      <c r="B103" s="35"/>
      <c r="C103" s="35"/>
      <c r="D103" s="35"/>
      <c r="E103" s="35"/>
      <c r="F103" s="35"/>
      <c r="G103" s="35"/>
      <c r="H103" s="40">
        <f t="shared" ref="H103:M103" si="20">MAX(MAX(strike-H53,0),Descuento*(p*I103+(1-p)*I104))</f>
        <v>84</v>
      </c>
      <c r="I103" s="35">
        <f t="shared" si="20"/>
        <v>84</v>
      </c>
      <c r="J103" s="35">
        <f t="shared" si="20"/>
        <v>84</v>
      </c>
      <c r="K103" s="35">
        <f t="shared" si="20"/>
        <v>84</v>
      </c>
      <c r="L103" s="35">
        <f t="shared" si="20"/>
        <v>84</v>
      </c>
      <c r="M103" s="35">
        <f t="shared" si="20"/>
        <v>84</v>
      </c>
      <c r="N103" s="39">
        <f t="shared" si="14"/>
        <v>84</v>
      </c>
    </row>
    <row r="104" spans="2:14" ht="15.75" thickBot="1" x14ac:dyDescent="0.3">
      <c r="B104" s="35"/>
      <c r="C104" s="35"/>
      <c r="D104" s="35"/>
      <c r="E104" s="35"/>
      <c r="F104" s="35"/>
      <c r="G104" s="35"/>
      <c r="H104" s="35"/>
      <c r="I104" s="40">
        <f>MAX(MAX(strike-I54,0),Descuento*(p*J104+(1-p)*J105))</f>
        <v>84</v>
      </c>
      <c r="J104" s="35">
        <f>MAX(MAX(strike-J54,0),Descuento*(p*K104+(1-p)*K105))</f>
        <v>84</v>
      </c>
      <c r="K104" s="35">
        <f>MAX(MAX(strike-K54,0),Descuento*(p*L104+(1-p)*L105))</f>
        <v>84</v>
      </c>
      <c r="L104" s="35">
        <f>MAX(MAX(strike-L54,0),Descuento*(p*M104+(1-p)*M105))</f>
        <v>84</v>
      </c>
      <c r="M104" s="35">
        <f>MAX(MAX(strike-M54,0),Descuento*(p*N104+(1-p)*N105))</f>
        <v>84</v>
      </c>
      <c r="N104" s="39">
        <f t="shared" si="14"/>
        <v>84</v>
      </c>
    </row>
    <row r="105" spans="2:14" ht="15.75" thickBot="1" x14ac:dyDescent="0.3">
      <c r="B105" s="35"/>
      <c r="C105" s="35"/>
      <c r="D105" s="35"/>
      <c r="E105" s="35"/>
      <c r="F105" s="35"/>
      <c r="G105" s="35"/>
      <c r="H105" s="35"/>
      <c r="I105" s="35"/>
      <c r="J105" s="40">
        <f>MAX(MAX(strike-J55,0),Descuento*(p*K105+(1-p)*K106))</f>
        <v>84</v>
      </c>
      <c r="K105" s="35">
        <f>MAX(MAX(strike-K55,0),Descuento*(p*L105+(1-p)*L106))</f>
        <v>84</v>
      </c>
      <c r="L105" s="35">
        <f>MAX(MAX(strike-L55,0),Descuento*(p*M105+(1-p)*M106))</f>
        <v>84</v>
      </c>
      <c r="M105" s="35">
        <f>MAX(MAX(strike-M55,0),Descuento*(p*N105+(1-p)*N106))</f>
        <v>84</v>
      </c>
      <c r="N105" s="39">
        <f t="shared" si="14"/>
        <v>84</v>
      </c>
    </row>
    <row r="106" spans="2:14" ht="15.75" thickBot="1" x14ac:dyDescent="0.3">
      <c r="B106" s="35"/>
      <c r="C106" s="35"/>
      <c r="D106" s="35"/>
      <c r="E106" s="35"/>
      <c r="F106" s="35"/>
      <c r="G106" s="35"/>
      <c r="H106" s="35"/>
      <c r="I106" s="35"/>
      <c r="J106" s="35"/>
      <c r="K106" s="40">
        <f>MAX(MAX(strike-K56,0),Descuento*(p*L106+(1-p)*L107))</f>
        <v>84</v>
      </c>
      <c r="L106" s="35">
        <f>MAX(MAX(strike-L56,0),Descuento*(p*M106+(1-p)*M107))</f>
        <v>84</v>
      </c>
      <c r="M106" s="35">
        <f>MAX(MAX(strike-M56,0),Descuento*(p*N106+(1-p)*N107))</f>
        <v>84</v>
      </c>
      <c r="N106" s="39">
        <f t="shared" si="14"/>
        <v>84</v>
      </c>
    </row>
    <row r="107" spans="2:14" ht="15.75" thickBot="1" x14ac:dyDescent="0.3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40">
        <f>MAX(MAX(strike-L57,0),Descuento*(p*M107+(1-p)*M108))</f>
        <v>84</v>
      </c>
      <c r="M107" s="35">
        <f>MAX(MAX(strike-M57,0),Descuento*(p*N107+(1-p)*N108))</f>
        <v>84</v>
      </c>
      <c r="N107" s="39">
        <f t="shared" si="14"/>
        <v>84</v>
      </c>
    </row>
    <row r="108" spans="2:14" ht="15.75" thickBot="1" x14ac:dyDescent="0.3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40">
        <f>MAX(MAX(strike-M58,0),Descuento*(p*N108+(1-p)*N109))</f>
        <v>84</v>
      </c>
      <c r="N108" s="39">
        <f t="shared" si="14"/>
        <v>84</v>
      </c>
    </row>
    <row r="109" spans="2:14" ht="15.75" thickBot="1" x14ac:dyDescent="0.3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1">
        <f t="shared" si="14"/>
        <v>84</v>
      </c>
    </row>
    <row r="111" spans="2:14" x14ac:dyDescent="0.25">
      <c r="B111" s="1" t="s">
        <v>23</v>
      </c>
    </row>
    <row r="112" spans="2:14" x14ac:dyDescent="0.25">
      <c r="B112" s="29" t="s">
        <v>21</v>
      </c>
      <c r="C112" s="2">
        <v>1</v>
      </c>
    </row>
    <row r="113" spans="2:14" x14ac:dyDescent="0.25">
      <c r="B113" s="29" t="s">
        <v>22</v>
      </c>
      <c r="C113" s="2">
        <f>strike</f>
        <v>84</v>
      </c>
    </row>
    <row r="115" spans="2:14" ht="15.75" thickBot="1" x14ac:dyDescent="0.3">
      <c r="B115" s="30" t="s">
        <v>20</v>
      </c>
    </row>
    <row r="116" spans="2:14" ht="15.75" thickBot="1" x14ac:dyDescent="0.3">
      <c r="B116" s="20">
        <v>0</v>
      </c>
      <c r="C116" s="21">
        <v>1</v>
      </c>
      <c r="D116" s="21">
        <v>2</v>
      </c>
      <c r="E116" s="21">
        <v>3</v>
      </c>
      <c r="F116" s="21">
        <v>4</v>
      </c>
      <c r="G116" s="21">
        <v>5</v>
      </c>
      <c r="H116" s="21">
        <v>6</v>
      </c>
      <c r="I116" s="21">
        <v>7</v>
      </c>
      <c r="J116" s="21">
        <v>8</v>
      </c>
      <c r="K116" s="21">
        <v>9</v>
      </c>
      <c r="L116" s="21">
        <v>10</v>
      </c>
      <c r="M116" s="21">
        <v>11</v>
      </c>
      <c r="N116" s="22">
        <v>12</v>
      </c>
    </row>
    <row r="117" spans="2:14" ht="15.75" thickBot="1" x14ac:dyDescent="0.3">
      <c r="B117" s="38">
        <f>Descuento*(p*C117+(1-p)*C118)</f>
        <v>0</v>
      </c>
      <c r="C117" s="35">
        <f>Descuento*(p*D117+(1-p)*D118)</f>
        <v>0</v>
      </c>
      <c r="D117" s="35">
        <f>Descuento*(p*E117+(1-p)*E118)</f>
        <v>0</v>
      </c>
      <c r="E117" s="35">
        <f>Descuento*(p*F117+(1-p)*F118)</f>
        <v>0</v>
      </c>
      <c r="F117" s="35">
        <f>Descuento*(p*G117+(1-p)*G118)</f>
        <v>0</v>
      </c>
      <c r="G117" s="35">
        <f t="shared" ref="G117:G122" si="21">Descuento*(p*H117+(1-p)*H118)</f>
        <v>0</v>
      </c>
      <c r="H117" s="35">
        <f t="shared" ref="H117:H123" si="22">Descuento*(p*I117+(1-p)*I118)</f>
        <v>0</v>
      </c>
      <c r="I117" s="35">
        <f t="shared" ref="I117:I124" si="23">Descuento*(p*J117+(1-p)*J118)</f>
        <v>0</v>
      </c>
      <c r="J117" s="35">
        <f t="shared" ref="J117:J125" si="24">Descuento*(p*K117+(1-p)*K118)</f>
        <v>0</v>
      </c>
      <c r="K117" s="35">
        <f t="shared" ref="K117:K126" si="25">Descuento*(p*L117+(1-p)*L118)</f>
        <v>0</v>
      </c>
      <c r="L117" s="35">
        <f t="shared" ref="L117:L127" si="26">Descuento*(p*M117+(1-p)*M118)</f>
        <v>0</v>
      </c>
      <c r="M117" s="35">
        <f>Descuento*(p*N117+(1-p)*N118)</f>
        <v>0</v>
      </c>
      <c r="N117" s="39">
        <f t="shared" ref="N117:N129" si="27">MAX(N47-strike,0)</f>
        <v>0</v>
      </c>
    </row>
    <row r="118" spans="2:14" ht="15.75" thickBot="1" x14ac:dyDescent="0.3">
      <c r="B118" s="35"/>
      <c r="C118" s="40">
        <f>Descuento*(p*D118+(1-p)*D119)</f>
        <v>0</v>
      </c>
      <c r="D118" s="35">
        <f>Descuento*(p*E118+(1-p)*E119)</f>
        <v>0</v>
      </c>
      <c r="E118" s="35">
        <f>Descuento*(p*F118+(1-p)*F119)</f>
        <v>0</v>
      </c>
      <c r="F118" s="35">
        <f>Descuento*(p*G118+(1-p)*G119)</f>
        <v>0</v>
      </c>
      <c r="G118" s="35">
        <f t="shared" si="21"/>
        <v>0</v>
      </c>
      <c r="H118" s="35">
        <f t="shared" si="22"/>
        <v>0</v>
      </c>
      <c r="I118" s="35">
        <f t="shared" si="23"/>
        <v>0</v>
      </c>
      <c r="J118" s="35">
        <f t="shared" si="24"/>
        <v>0</v>
      </c>
      <c r="K118" s="35">
        <f t="shared" si="25"/>
        <v>0</v>
      </c>
      <c r="L118" s="35">
        <f t="shared" si="26"/>
        <v>0</v>
      </c>
      <c r="M118" s="35">
        <f t="shared" ref="M118:M128" si="28">Descuento*(p*N118+(1-p)*N119)</f>
        <v>0</v>
      </c>
      <c r="N118" s="39">
        <f t="shared" si="27"/>
        <v>0</v>
      </c>
    </row>
    <row r="119" spans="2:14" ht="15.75" thickBot="1" x14ac:dyDescent="0.3">
      <c r="B119" s="35"/>
      <c r="C119" s="35"/>
      <c r="D119" s="40">
        <f>Descuento*(p*E119+(1-p)*E120)</f>
        <v>0</v>
      </c>
      <c r="E119" s="35">
        <f>Descuento*(p*F119+(1-p)*F120)</f>
        <v>0</v>
      </c>
      <c r="F119" s="35">
        <f>Descuento*(p*G119+(1-p)*G120)</f>
        <v>0</v>
      </c>
      <c r="G119" s="35">
        <f t="shared" si="21"/>
        <v>0</v>
      </c>
      <c r="H119" s="35">
        <f t="shared" si="22"/>
        <v>0</v>
      </c>
      <c r="I119" s="35">
        <f t="shared" si="23"/>
        <v>0</v>
      </c>
      <c r="J119" s="35">
        <f t="shared" si="24"/>
        <v>0</v>
      </c>
      <c r="K119" s="35">
        <f t="shared" si="25"/>
        <v>0</v>
      </c>
      <c r="L119" s="35">
        <f t="shared" si="26"/>
        <v>0</v>
      </c>
      <c r="M119" s="35">
        <f t="shared" si="28"/>
        <v>0</v>
      </c>
      <c r="N119" s="39">
        <f t="shared" si="27"/>
        <v>0</v>
      </c>
    </row>
    <row r="120" spans="2:14" ht="15.75" thickBot="1" x14ac:dyDescent="0.3">
      <c r="B120" s="35"/>
      <c r="C120" s="35"/>
      <c r="D120" s="35"/>
      <c r="E120" s="40">
        <f>Descuento*(p*F120+(1-p)*F121)</f>
        <v>0</v>
      </c>
      <c r="F120" s="35">
        <f>Descuento*(p*G120+(1-p)*G121)</f>
        <v>0</v>
      </c>
      <c r="G120" s="35">
        <f t="shared" si="21"/>
        <v>0</v>
      </c>
      <c r="H120" s="35">
        <f t="shared" si="22"/>
        <v>0</v>
      </c>
      <c r="I120" s="35">
        <f t="shared" si="23"/>
        <v>0</v>
      </c>
      <c r="J120" s="35">
        <f t="shared" si="24"/>
        <v>0</v>
      </c>
      <c r="K120" s="35">
        <f t="shared" si="25"/>
        <v>0</v>
      </c>
      <c r="L120" s="35">
        <f t="shared" si="26"/>
        <v>0</v>
      </c>
      <c r="M120" s="35">
        <f t="shared" si="28"/>
        <v>0</v>
      </c>
      <c r="N120" s="39">
        <f t="shared" si="27"/>
        <v>0</v>
      </c>
    </row>
    <row r="121" spans="2:14" ht="15.75" thickBot="1" x14ac:dyDescent="0.3">
      <c r="B121" s="35"/>
      <c r="C121" s="35"/>
      <c r="D121" s="35"/>
      <c r="E121" s="35"/>
      <c r="F121" s="40">
        <f>Descuento*(p*G121+(1-p)*G122)</f>
        <v>0</v>
      </c>
      <c r="G121" s="35">
        <f t="shared" si="21"/>
        <v>0</v>
      </c>
      <c r="H121" s="35">
        <f t="shared" si="22"/>
        <v>0</v>
      </c>
      <c r="I121" s="35">
        <f t="shared" si="23"/>
        <v>0</v>
      </c>
      <c r="J121" s="35">
        <f t="shared" si="24"/>
        <v>0</v>
      </c>
      <c r="K121" s="35">
        <f t="shared" si="25"/>
        <v>0</v>
      </c>
      <c r="L121" s="35">
        <f t="shared" si="26"/>
        <v>0</v>
      </c>
      <c r="M121" s="35">
        <f t="shared" si="28"/>
        <v>0</v>
      </c>
      <c r="N121" s="39">
        <f t="shared" si="27"/>
        <v>0</v>
      </c>
    </row>
    <row r="122" spans="2:14" ht="15.75" thickBot="1" x14ac:dyDescent="0.3">
      <c r="B122" s="35"/>
      <c r="C122" s="35"/>
      <c r="D122" s="35"/>
      <c r="E122" s="35"/>
      <c r="F122" s="35"/>
      <c r="G122" s="40">
        <f t="shared" si="21"/>
        <v>0</v>
      </c>
      <c r="H122" s="35">
        <f t="shared" si="22"/>
        <v>0</v>
      </c>
      <c r="I122" s="35">
        <f t="shared" si="23"/>
        <v>0</v>
      </c>
      <c r="J122" s="35">
        <f t="shared" si="24"/>
        <v>0</v>
      </c>
      <c r="K122" s="35">
        <f t="shared" si="25"/>
        <v>0</v>
      </c>
      <c r="L122" s="35">
        <f t="shared" si="26"/>
        <v>0</v>
      </c>
      <c r="M122" s="35">
        <f t="shared" si="28"/>
        <v>0</v>
      </c>
      <c r="N122" s="39">
        <f t="shared" si="27"/>
        <v>0</v>
      </c>
    </row>
    <row r="123" spans="2:14" ht="15.75" thickBot="1" x14ac:dyDescent="0.3">
      <c r="B123" s="35"/>
      <c r="C123" s="35"/>
      <c r="D123" s="35"/>
      <c r="E123" s="35"/>
      <c r="F123" s="35"/>
      <c r="G123" s="35"/>
      <c r="H123" s="40">
        <f t="shared" si="22"/>
        <v>0</v>
      </c>
      <c r="I123" s="35">
        <f t="shared" si="23"/>
        <v>0</v>
      </c>
      <c r="J123" s="35">
        <f t="shared" si="24"/>
        <v>0</v>
      </c>
      <c r="K123" s="35">
        <f t="shared" si="25"/>
        <v>0</v>
      </c>
      <c r="L123" s="35">
        <f t="shared" si="26"/>
        <v>0</v>
      </c>
      <c r="M123" s="35">
        <f t="shared" si="28"/>
        <v>0</v>
      </c>
      <c r="N123" s="39">
        <f t="shared" si="27"/>
        <v>0</v>
      </c>
    </row>
    <row r="124" spans="2:14" ht="15.75" thickBot="1" x14ac:dyDescent="0.3">
      <c r="B124" s="35"/>
      <c r="C124" s="35"/>
      <c r="D124" s="35"/>
      <c r="E124" s="35"/>
      <c r="F124" s="35"/>
      <c r="G124" s="35"/>
      <c r="H124" s="35"/>
      <c r="I124" s="40">
        <f t="shared" si="23"/>
        <v>0</v>
      </c>
      <c r="J124" s="35">
        <f t="shared" si="24"/>
        <v>0</v>
      </c>
      <c r="K124" s="35">
        <f t="shared" si="25"/>
        <v>0</v>
      </c>
      <c r="L124" s="35">
        <f t="shared" si="26"/>
        <v>0</v>
      </c>
      <c r="M124" s="35">
        <f t="shared" si="28"/>
        <v>0</v>
      </c>
      <c r="N124" s="39">
        <f t="shared" si="27"/>
        <v>0</v>
      </c>
    </row>
    <row r="125" spans="2:14" ht="15.75" thickBot="1" x14ac:dyDescent="0.3">
      <c r="B125" s="35"/>
      <c r="C125" s="35"/>
      <c r="D125" s="35"/>
      <c r="E125" s="35"/>
      <c r="F125" s="35"/>
      <c r="G125" s="35"/>
      <c r="H125" s="35"/>
      <c r="I125" s="35"/>
      <c r="J125" s="40">
        <f t="shared" si="24"/>
        <v>0</v>
      </c>
      <c r="K125" s="35">
        <f t="shared" si="25"/>
        <v>0</v>
      </c>
      <c r="L125" s="35">
        <f t="shared" si="26"/>
        <v>0</v>
      </c>
      <c r="M125" s="35">
        <f t="shared" si="28"/>
        <v>0</v>
      </c>
      <c r="N125" s="39">
        <f t="shared" si="27"/>
        <v>0</v>
      </c>
    </row>
    <row r="126" spans="2:14" ht="15.75" thickBot="1" x14ac:dyDescent="0.3">
      <c r="B126" s="35"/>
      <c r="C126" s="35"/>
      <c r="D126" s="35"/>
      <c r="E126" s="35"/>
      <c r="F126" s="35"/>
      <c r="G126" s="35"/>
      <c r="H126" s="35"/>
      <c r="I126" s="35"/>
      <c r="J126" s="35"/>
      <c r="K126" s="40">
        <f t="shared" si="25"/>
        <v>0</v>
      </c>
      <c r="L126" s="35">
        <f t="shared" si="26"/>
        <v>0</v>
      </c>
      <c r="M126" s="35">
        <f t="shared" si="28"/>
        <v>0</v>
      </c>
      <c r="N126" s="39">
        <f t="shared" si="27"/>
        <v>0</v>
      </c>
    </row>
    <row r="127" spans="2:14" ht="15.75" thickBot="1" x14ac:dyDescent="0.3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40">
        <f t="shared" si="26"/>
        <v>0</v>
      </c>
      <c r="M127" s="35">
        <f t="shared" si="28"/>
        <v>0</v>
      </c>
      <c r="N127" s="39">
        <f t="shared" si="27"/>
        <v>0</v>
      </c>
    </row>
    <row r="128" spans="2:14" ht="15.75" thickBot="1" x14ac:dyDescent="0.3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40">
        <f t="shared" si="28"/>
        <v>0</v>
      </c>
      <c r="N128" s="39">
        <f t="shared" si="27"/>
        <v>0</v>
      </c>
    </row>
    <row r="129" spans="2:14" ht="15.75" thickBot="1" x14ac:dyDescent="0.3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41">
        <f t="shared" si="27"/>
        <v>0</v>
      </c>
    </row>
    <row r="132" spans="2:14" x14ac:dyDescent="0.25">
      <c r="B132" s="1" t="s">
        <v>24</v>
      </c>
    </row>
    <row r="133" spans="2:14" x14ac:dyDescent="0.25">
      <c r="B133" s="29" t="s">
        <v>21</v>
      </c>
      <c r="C133" s="2">
        <v>1</v>
      </c>
    </row>
    <row r="134" spans="2:14" x14ac:dyDescent="0.25">
      <c r="B134" s="29" t="s">
        <v>22</v>
      </c>
      <c r="C134" s="2">
        <f>strike</f>
        <v>84</v>
      </c>
    </row>
    <row r="136" spans="2:14" ht="15.75" thickBot="1" x14ac:dyDescent="0.3">
      <c r="B136" s="30" t="s">
        <v>20</v>
      </c>
    </row>
    <row r="137" spans="2:14" ht="15.75" thickBot="1" x14ac:dyDescent="0.3">
      <c r="B137" s="20">
        <v>0</v>
      </c>
      <c r="C137" s="21">
        <v>1</v>
      </c>
      <c r="D137" s="21">
        <v>2</v>
      </c>
      <c r="E137" s="21">
        <v>3</v>
      </c>
      <c r="F137" s="21">
        <v>4</v>
      </c>
      <c r="G137" s="21">
        <v>5</v>
      </c>
      <c r="H137" s="21">
        <v>6</v>
      </c>
      <c r="I137" s="21">
        <v>7</v>
      </c>
      <c r="J137" s="21">
        <v>8</v>
      </c>
      <c r="K137" s="21">
        <v>9</v>
      </c>
      <c r="L137" s="21">
        <v>10</v>
      </c>
      <c r="M137" s="21">
        <v>11</v>
      </c>
      <c r="N137" s="22">
        <v>12</v>
      </c>
    </row>
    <row r="138" spans="2:14" ht="15.75" thickBot="1" x14ac:dyDescent="0.3">
      <c r="B138" s="38">
        <f t="shared" ref="B138:G138" si="29">MAX(Descuento*(p*C138+(1-p)*C139),MAX(B47-strike,0))</f>
        <v>0</v>
      </c>
      <c r="C138" s="35">
        <f t="shared" si="29"/>
        <v>0</v>
      </c>
      <c r="D138" s="35">
        <f t="shared" si="29"/>
        <v>0</v>
      </c>
      <c r="E138" s="35">
        <f t="shared" si="29"/>
        <v>0</v>
      </c>
      <c r="F138" s="35">
        <f t="shared" si="29"/>
        <v>0</v>
      </c>
      <c r="G138" s="35">
        <f t="shared" si="29"/>
        <v>0</v>
      </c>
      <c r="H138" s="35">
        <f t="shared" ref="H138:M144" si="30">MAX(Descuento*(p*I138+(1-p)*I139),MAX(H47-strike,0))</f>
        <v>0</v>
      </c>
      <c r="I138" s="35">
        <f t="shared" si="30"/>
        <v>0</v>
      </c>
      <c r="J138" s="35">
        <f t="shared" si="30"/>
        <v>0</v>
      </c>
      <c r="K138" s="35">
        <f t="shared" si="30"/>
        <v>0</v>
      </c>
      <c r="L138" s="35">
        <f t="shared" si="30"/>
        <v>0</v>
      </c>
      <c r="M138" s="35">
        <f t="shared" si="30"/>
        <v>0</v>
      </c>
      <c r="N138" s="39">
        <f>MAX(N47-strike,0)</f>
        <v>0</v>
      </c>
    </row>
    <row r="139" spans="2:14" ht="15.75" thickBot="1" x14ac:dyDescent="0.3">
      <c r="B139" s="35"/>
      <c r="C139" s="40">
        <f>MAX(Descuento*(p*D139+(1-p)*D140),MAX(C48-strike,0))</f>
        <v>0</v>
      </c>
      <c r="D139" s="35">
        <f>MAX(Descuento*(p*E139+(1-p)*E140),MAX(D48-strike,0))</f>
        <v>0</v>
      </c>
      <c r="E139" s="35">
        <f>MAX(Descuento*(p*F139+(1-p)*F140),MAX(E48-strike,0))</f>
        <v>0</v>
      </c>
      <c r="F139" s="35">
        <f>MAX(Descuento*(p*G139+(1-p)*G140),MAX(F48-strike,0))</f>
        <v>0</v>
      </c>
      <c r="G139" s="35">
        <f>MAX(Descuento*(p*H139+(1-p)*H140),MAX(G48-strike,0))</f>
        <v>0</v>
      </c>
      <c r="H139" s="35">
        <f t="shared" si="30"/>
        <v>0</v>
      </c>
      <c r="I139" s="35">
        <f t="shared" si="30"/>
        <v>0</v>
      </c>
      <c r="J139" s="35">
        <f t="shared" si="30"/>
        <v>0</v>
      </c>
      <c r="K139" s="35">
        <f t="shared" si="30"/>
        <v>0</v>
      </c>
      <c r="L139" s="35">
        <f t="shared" si="30"/>
        <v>0</v>
      </c>
      <c r="M139" s="35">
        <f t="shared" si="30"/>
        <v>0</v>
      </c>
      <c r="N139" s="39">
        <f t="shared" ref="N139:N150" si="31">MAX(N48-strike,0)</f>
        <v>0</v>
      </c>
    </row>
    <row r="140" spans="2:14" ht="15.75" thickBot="1" x14ac:dyDescent="0.3">
      <c r="B140" s="35"/>
      <c r="C140" s="35"/>
      <c r="D140" s="40">
        <f>MAX(Descuento*(p*E140+(1-p)*E141),MAX(D49-strike,0))</f>
        <v>0</v>
      </c>
      <c r="E140" s="35">
        <f>MAX(Descuento*(p*F140+(1-p)*F141),MAX(E49-strike,0))</f>
        <v>0</v>
      </c>
      <c r="F140" s="35">
        <f>MAX(Descuento*(p*G140+(1-p)*G141),MAX(F49-strike,0))</f>
        <v>0</v>
      </c>
      <c r="G140" s="35">
        <f>MAX(Descuento*(p*H140+(1-p)*H141),MAX(G49-strike,0))</f>
        <v>0</v>
      </c>
      <c r="H140" s="35">
        <f t="shared" si="30"/>
        <v>0</v>
      </c>
      <c r="I140" s="35">
        <f t="shared" si="30"/>
        <v>0</v>
      </c>
      <c r="J140" s="35">
        <f t="shared" si="30"/>
        <v>0</v>
      </c>
      <c r="K140" s="35">
        <f t="shared" si="30"/>
        <v>0</v>
      </c>
      <c r="L140" s="35">
        <f t="shared" si="30"/>
        <v>0</v>
      </c>
      <c r="M140" s="35">
        <f t="shared" si="30"/>
        <v>0</v>
      </c>
      <c r="N140" s="39">
        <f t="shared" si="31"/>
        <v>0</v>
      </c>
    </row>
    <row r="141" spans="2:14" ht="15.75" thickBot="1" x14ac:dyDescent="0.3">
      <c r="B141" s="35"/>
      <c r="C141" s="35"/>
      <c r="D141" s="35"/>
      <c r="E141" s="40">
        <f>MAX(Descuento*(p*F141+(1-p)*F142),MAX(E50-strike,0))</f>
        <v>0</v>
      </c>
      <c r="F141" s="35">
        <f>MAX(Descuento*(p*G141+(1-p)*G142),MAX(F50-strike,0))</f>
        <v>0</v>
      </c>
      <c r="G141" s="35">
        <f>MAX(Descuento*(p*H141+(1-p)*H142),MAX(G50-strike,0))</f>
        <v>0</v>
      </c>
      <c r="H141" s="35">
        <f t="shared" si="30"/>
        <v>0</v>
      </c>
      <c r="I141" s="35">
        <f t="shared" si="30"/>
        <v>0</v>
      </c>
      <c r="J141" s="35">
        <f t="shared" si="30"/>
        <v>0</v>
      </c>
      <c r="K141" s="35">
        <f t="shared" si="30"/>
        <v>0</v>
      </c>
      <c r="L141" s="35">
        <f t="shared" si="30"/>
        <v>0</v>
      </c>
      <c r="M141" s="35">
        <f t="shared" si="30"/>
        <v>0</v>
      </c>
      <c r="N141" s="39">
        <f t="shared" si="31"/>
        <v>0</v>
      </c>
    </row>
    <row r="142" spans="2:14" ht="15.75" thickBot="1" x14ac:dyDescent="0.3">
      <c r="B142" s="35"/>
      <c r="C142" s="35"/>
      <c r="D142" s="35"/>
      <c r="E142" s="35"/>
      <c r="F142" s="40">
        <f>MAX(Descuento*(p*G142+(1-p)*G143),MAX(F51-strike,0))</f>
        <v>0</v>
      </c>
      <c r="G142" s="35">
        <f>MAX(Descuento*(p*H142+(1-p)*H143),MAX(G51-strike,0))</f>
        <v>0</v>
      </c>
      <c r="H142" s="35">
        <f t="shared" si="30"/>
        <v>0</v>
      </c>
      <c r="I142" s="35">
        <f t="shared" si="30"/>
        <v>0</v>
      </c>
      <c r="J142" s="35">
        <f t="shared" si="30"/>
        <v>0</v>
      </c>
      <c r="K142" s="35">
        <f t="shared" si="30"/>
        <v>0</v>
      </c>
      <c r="L142" s="35">
        <f t="shared" si="30"/>
        <v>0</v>
      </c>
      <c r="M142" s="35">
        <f t="shared" si="30"/>
        <v>0</v>
      </c>
      <c r="N142" s="39">
        <f t="shared" si="31"/>
        <v>0</v>
      </c>
    </row>
    <row r="143" spans="2:14" ht="15.75" thickBot="1" x14ac:dyDescent="0.3">
      <c r="B143" s="35"/>
      <c r="C143" s="35"/>
      <c r="D143" s="35"/>
      <c r="E143" s="35"/>
      <c r="F143" s="35"/>
      <c r="G143" s="40">
        <f>MAX(Descuento*(p*H143+(1-p)*H144),MAX(G52-strike,0))</f>
        <v>0</v>
      </c>
      <c r="H143" s="35">
        <f t="shared" si="30"/>
        <v>0</v>
      </c>
      <c r="I143" s="35">
        <f t="shared" si="30"/>
        <v>0</v>
      </c>
      <c r="J143" s="35">
        <f t="shared" si="30"/>
        <v>0</v>
      </c>
      <c r="K143" s="35">
        <f t="shared" si="30"/>
        <v>0</v>
      </c>
      <c r="L143" s="35">
        <f t="shared" si="30"/>
        <v>0</v>
      </c>
      <c r="M143" s="35">
        <f t="shared" si="30"/>
        <v>0</v>
      </c>
      <c r="N143" s="39">
        <f t="shared" si="31"/>
        <v>0</v>
      </c>
    </row>
    <row r="144" spans="2:14" ht="15.75" thickBot="1" x14ac:dyDescent="0.3">
      <c r="B144" s="35"/>
      <c r="C144" s="35"/>
      <c r="D144" s="35"/>
      <c r="E144" s="35"/>
      <c r="F144" s="35"/>
      <c r="G144" s="35"/>
      <c r="H144" s="40">
        <f t="shared" si="30"/>
        <v>0</v>
      </c>
      <c r="I144" s="35">
        <f t="shared" si="30"/>
        <v>0</v>
      </c>
      <c r="J144" s="35">
        <f t="shared" si="30"/>
        <v>0</v>
      </c>
      <c r="K144" s="35">
        <f t="shared" si="30"/>
        <v>0</v>
      </c>
      <c r="L144" s="35">
        <f t="shared" si="30"/>
        <v>0</v>
      </c>
      <c r="M144" s="35">
        <f t="shared" si="30"/>
        <v>0</v>
      </c>
      <c r="N144" s="39">
        <f t="shared" si="31"/>
        <v>0</v>
      </c>
    </row>
    <row r="145" spans="2:14" ht="15.75" thickBot="1" x14ac:dyDescent="0.3">
      <c r="B145" s="35"/>
      <c r="C145" s="35"/>
      <c r="D145" s="35"/>
      <c r="E145" s="35"/>
      <c r="F145" s="35"/>
      <c r="G145" s="35"/>
      <c r="H145" s="35"/>
      <c r="I145" s="40">
        <f>MAX(Descuento*(p*J145+(1-p)*J146),MAX(I54-strike,0))</f>
        <v>0</v>
      </c>
      <c r="J145" s="35">
        <f>MAX(Descuento*(p*K145+(1-p)*K146),MAX(J54-strike,0))</f>
        <v>0</v>
      </c>
      <c r="K145" s="35">
        <f>MAX(Descuento*(p*L145+(1-p)*L146),MAX(K54-strike,0))</f>
        <v>0</v>
      </c>
      <c r="L145" s="35">
        <f>MAX(Descuento*(p*M145+(1-p)*M146),MAX(L54-strike,0))</f>
        <v>0</v>
      </c>
      <c r="M145" s="35">
        <f>MAX(Descuento*(p*N145+(1-p)*N146),MAX(M54-strike,0))</f>
        <v>0</v>
      </c>
      <c r="N145" s="39">
        <f t="shared" si="31"/>
        <v>0</v>
      </c>
    </row>
    <row r="146" spans="2:14" ht="15.75" thickBot="1" x14ac:dyDescent="0.3">
      <c r="B146" s="35"/>
      <c r="C146" s="35"/>
      <c r="D146" s="35"/>
      <c r="E146" s="35"/>
      <c r="F146" s="35"/>
      <c r="G146" s="35"/>
      <c r="H146" s="35"/>
      <c r="I146" s="35"/>
      <c r="J146" s="40">
        <f>MAX(Descuento*(p*K146+(1-p)*K147),MAX(J55-strike,0))</f>
        <v>0</v>
      </c>
      <c r="K146" s="35">
        <f>MAX(Descuento*(p*L146+(1-p)*L147),MAX(K55-strike,0))</f>
        <v>0</v>
      </c>
      <c r="L146" s="35">
        <f>MAX(Descuento*(p*M146+(1-p)*M147),MAX(L55-strike,0))</f>
        <v>0</v>
      </c>
      <c r="M146" s="35">
        <f>MAX(Descuento*(p*N146+(1-p)*N147),MAX(M55-strike,0))</f>
        <v>0</v>
      </c>
      <c r="N146" s="39">
        <f t="shared" si="31"/>
        <v>0</v>
      </c>
    </row>
    <row r="147" spans="2:14" ht="15.75" thickBot="1" x14ac:dyDescent="0.3">
      <c r="B147" s="35"/>
      <c r="C147" s="35"/>
      <c r="D147" s="35"/>
      <c r="E147" s="35"/>
      <c r="F147" s="35"/>
      <c r="G147" s="35"/>
      <c r="H147" s="35"/>
      <c r="I147" s="35"/>
      <c r="J147" s="35"/>
      <c r="K147" s="40">
        <f>MAX(Descuento*(p*L147+(1-p)*L148),MAX(K56-strike,0))</f>
        <v>0</v>
      </c>
      <c r="L147" s="35">
        <f>MAX(Descuento*(p*M147+(1-p)*M148),MAX(L56-strike,0))</f>
        <v>0</v>
      </c>
      <c r="M147" s="35">
        <f>MAX(Descuento*(p*N147+(1-p)*N148),MAX(M56-strike,0))</f>
        <v>0</v>
      </c>
      <c r="N147" s="39">
        <f t="shared" si="31"/>
        <v>0</v>
      </c>
    </row>
    <row r="148" spans="2:14" ht="15.75" thickBot="1" x14ac:dyDescent="0.3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40">
        <f>MAX(Descuento*(p*M148+(1-p)*M149),MAX(L57-strike,0))</f>
        <v>0</v>
      </c>
      <c r="M148" s="35">
        <f>MAX(Descuento*(p*N148+(1-p)*N149),MAX(M57-strike,0))</f>
        <v>0</v>
      </c>
      <c r="N148" s="39">
        <f t="shared" si="31"/>
        <v>0</v>
      </c>
    </row>
    <row r="149" spans="2:14" ht="15.75" thickBot="1" x14ac:dyDescent="0.3"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40">
        <f>MAX(Descuento*(p*N149+(1-p)*N150),MAX(M58-strike,0))</f>
        <v>0</v>
      </c>
      <c r="N149" s="39">
        <f t="shared" si="31"/>
        <v>0</v>
      </c>
    </row>
    <row r="150" spans="2:14" ht="15.75" thickBot="1" x14ac:dyDescent="0.3"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41">
        <f t="shared" si="31"/>
        <v>0</v>
      </c>
    </row>
  </sheetData>
  <phoneticPr fontId="0" type="noConversion"/>
  <pageMargins left="0.75" right="0.75" top="1" bottom="1" header="0" footer="0"/>
  <pageSetup paperSize="9" orientation="portrait" horizontalDpi="4294967294" verticalDpi="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9850-254D-41CE-BE08-C265AA79CCED}">
  <dimension ref="A3:S150"/>
  <sheetViews>
    <sheetView showGridLines="0" zoomScaleNormal="100" workbookViewId="0"/>
  </sheetViews>
  <sheetFormatPr defaultColWidth="11.42578125" defaultRowHeight="15" x14ac:dyDescent="0.25"/>
  <cols>
    <col min="1" max="1" width="15" style="2" bestFit="1" customWidth="1"/>
    <col min="2" max="2" width="22.7109375" style="2" customWidth="1"/>
    <col min="3" max="3" width="12.85546875" style="2" bestFit="1" customWidth="1"/>
    <col min="4" max="4" width="16.140625" style="2" customWidth="1"/>
    <col min="5" max="5" width="12.85546875" style="2" bestFit="1" customWidth="1"/>
    <col min="6" max="6" width="14.7109375" style="2" customWidth="1"/>
    <col min="7" max="7" width="12.85546875" style="2" bestFit="1" customWidth="1"/>
    <col min="8" max="8" width="13.42578125" style="2" customWidth="1"/>
    <col min="9" max="9" width="12.85546875" style="2" bestFit="1" customWidth="1"/>
    <col min="10" max="10" width="14" style="2" customWidth="1"/>
    <col min="11" max="14" width="13.85546875" style="2" bestFit="1" customWidth="1"/>
    <col min="15" max="16384" width="11.42578125" style="2"/>
  </cols>
  <sheetData>
    <row r="3" spans="2:12" ht="15.75" thickBot="1" x14ac:dyDescent="0.3">
      <c r="B3" s="1" t="s">
        <v>1</v>
      </c>
    </row>
    <row r="4" spans="2:12" ht="15.75" thickBot="1" x14ac:dyDescent="0.3">
      <c r="B4" s="3" t="s">
        <v>32</v>
      </c>
      <c r="C4" s="42">
        <v>6.0000000000000001E-3</v>
      </c>
      <c r="E4" s="1" t="s">
        <v>6</v>
      </c>
    </row>
    <row r="5" spans="2:12" x14ac:dyDescent="0.25">
      <c r="B5" s="4" t="s">
        <v>12</v>
      </c>
      <c r="C5" s="43">
        <v>0.4</v>
      </c>
      <c r="E5" s="5" t="s">
        <v>9</v>
      </c>
      <c r="F5" s="6">
        <v>2.5</v>
      </c>
      <c r="G5" s="7" t="s">
        <v>10</v>
      </c>
      <c r="H5" s="8">
        <v>9.5</v>
      </c>
    </row>
    <row r="6" spans="2:12" ht="15.75" thickBot="1" x14ac:dyDescent="0.3">
      <c r="B6" s="9" t="s">
        <v>13</v>
      </c>
      <c r="C6" s="13">
        <v>80</v>
      </c>
      <c r="E6" s="10" t="s">
        <v>7</v>
      </c>
      <c r="F6" s="11">
        <v>1.5</v>
      </c>
      <c r="G6" s="12" t="s">
        <v>8</v>
      </c>
      <c r="H6" s="13">
        <v>2</v>
      </c>
    </row>
    <row r="7" spans="2:12" x14ac:dyDescent="0.25">
      <c r="C7" s="17"/>
      <c r="F7" s="23" t="s">
        <v>31</v>
      </c>
      <c r="H7" s="23" t="s">
        <v>31</v>
      </c>
    </row>
    <row r="8" spans="2:12" ht="15.75" thickBot="1" x14ac:dyDescent="0.3">
      <c r="B8" s="1" t="s">
        <v>3</v>
      </c>
      <c r="F8" s="14"/>
    </row>
    <row r="9" spans="2:12" ht="15.75" thickBot="1" x14ac:dyDescent="0.3">
      <c r="B9" s="15" t="s">
        <v>2</v>
      </c>
      <c r="C9" s="44">
        <f>1/12</f>
        <v>8.3333333333333329E-2</v>
      </c>
    </row>
    <row r="10" spans="2:12" x14ac:dyDescent="0.25">
      <c r="B10" s="2" t="s">
        <v>14</v>
      </c>
      <c r="C10" s="45">
        <f>+EXP(-tipo*Deltat)</f>
        <v>0.99950012497916929</v>
      </c>
      <c r="F10" s="14"/>
    </row>
    <row r="11" spans="2:12" x14ac:dyDescent="0.25">
      <c r="C11" s="17"/>
    </row>
    <row r="12" spans="2:12" ht="15.75" thickBot="1" x14ac:dyDescent="0.3">
      <c r="B12" s="1" t="s">
        <v>4</v>
      </c>
      <c r="C12" s="17"/>
    </row>
    <row r="13" spans="2:12" x14ac:dyDescent="0.25">
      <c r="B13" s="51" t="s">
        <v>0</v>
      </c>
      <c r="C13" s="52">
        <v>0.5</v>
      </c>
      <c r="D13" s="16"/>
      <c r="J13" s="17" t="s">
        <v>26</v>
      </c>
      <c r="L13" s="2" t="s">
        <v>28</v>
      </c>
    </row>
    <row r="14" spans="2:12" x14ac:dyDescent="0.25">
      <c r="B14" s="53" t="s">
        <v>5</v>
      </c>
      <c r="C14" s="54">
        <f>EXP(tipo*Deltat)*EXP(vola*SQRT(Deltat))*2/(EXP(vola*SQRT(Deltat))+EXP(-vola*SQRT(Deltat)))</f>
        <v>1.1155171951556579</v>
      </c>
      <c r="D14" s="16"/>
      <c r="J14" s="17" t="s">
        <v>27</v>
      </c>
    </row>
    <row r="15" spans="2:12" ht="15.75" thickBot="1" x14ac:dyDescent="0.3">
      <c r="B15" s="55" t="s">
        <v>29</v>
      </c>
      <c r="C15" s="56">
        <f>EXP(tipo*Deltat)*EXP(-vola*SQRT(Deltat))*2/(EXP(vola*SQRT(Deltat))+EXP(-vola*SQRT(Deltat)))</f>
        <v>0.88548305488601364</v>
      </c>
      <c r="J15" s="18">
        <f>SUMPRODUCT(N20:N32,probs)*Descuento^12</f>
        <v>76.511351301794591</v>
      </c>
      <c r="L15" s="19">
        <f>SQRT(SUMPRODUCT(S20:S32^2,probs)-SUMPRODUCT(S20:S32,probs)^2)</f>
        <v>0.40000000000000013</v>
      </c>
    </row>
    <row r="17" spans="2:19" ht="15.75" thickBot="1" x14ac:dyDescent="0.3">
      <c r="B17" s="1" t="s">
        <v>11</v>
      </c>
    </row>
    <row r="18" spans="2:19" ht="15.75" thickBot="1" x14ac:dyDescent="0.3">
      <c r="B18" s="20">
        <v>0</v>
      </c>
      <c r="C18" s="21">
        <v>1</v>
      </c>
      <c r="D18" s="21">
        <v>2</v>
      </c>
      <c r="E18" s="21">
        <v>3</v>
      </c>
      <c r="F18" s="21">
        <v>4</v>
      </c>
      <c r="G18" s="21">
        <v>5</v>
      </c>
      <c r="H18" s="21">
        <v>6</v>
      </c>
      <c r="I18" s="21">
        <v>7</v>
      </c>
      <c r="J18" s="21">
        <v>8</v>
      </c>
      <c r="K18" s="21">
        <v>9</v>
      </c>
      <c r="L18" s="21">
        <v>10</v>
      </c>
      <c r="M18" s="21">
        <v>11</v>
      </c>
      <c r="N18" s="22">
        <v>12</v>
      </c>
      <c r="P18" s="23" t="s">
        <v>16</v>
      </c>
      <c r="S18" s="2" t="s">
        <v>25</v>
      </c>
    </row>
    <row r="19" spans="2:19" ht="15.75" thickBot="1" x14ac:dyDescent="0.3">
      <c r="B19" s="34">
        <f t="shared" ref="B19:N19" si="0">B18*Deltat</f>
        <v>0</v>
      </c>
      <c r="C19" s="34">
        <f t="shared" si="0"/>
        <v>8.3333333333333329E-2</v>
      </c>
      <c r="D19" s="34">
        <f t="shared" si="0"/>
        <v>0.16666666666666666</v>
      </c>
      <c r="E19" s="34">
        <f t="shared" si="0"/>
        <v>0.25</v>
      </c>
      <c r="F19" s="34">
        <f t="shared" si="0"/>
        <v>0.33333333333333331</v>
      </c>
      <c r="G19" s="34">
        <f t="shared" si="0"/>
        <v>0.41666666666666663</v>
      </c>
      <c r="H19" s="34">
        <f t="shared" si="0"/>
        <v>0.5</v>
      </c>
      <c r="I19" s="34">
        <f t="shared" si="0"/>
        <v>0.58333333333333326</v>
      </c>
      <c r="J19" s="34">
        <f t="shared" si="0"/>
        <v>0.66666666666666663</v>
      </c>
      <c r="K19" s="34">
        <f t="shared" si="0"/>
        <v>0.75</v>
      </c>
      <c r="L19" s="34">
        <f t="shared" si="0"/>
        <v>0.83333333333333326</v>
      </c>
      <c r="M19" s="34">
        <f t="shared" si="0"/>
        <v>0.91666666666666663</v>
      </c>
      <c r="N19" s="34">
        <f t="shared" si="0"/>
        <v>1</v>
      </c>
      <c r="P19" s="23"/>
    </row>
    <row r="20" spans="2:19" x14ac:dyDescent="0.25">
      <c r="B20" s="35">
        <f>S0-B40</f>
        <v>76.511351301794704</v>
      </c>
      <c r="C20" s="35">
        <f>B20*u</f>
        <v>85.349728001747224</v>
      </c>
      <c r="D20" s="35">
        <f t="shared" ref="D20" si="1">C20*u</f>
        <v>95.209089187807379</v>
      </c>
      <c r="E20" s="35">
        <f t="shared" ref="E20" si="2">D20*u</f>
        <v>106.20737612410777</v>
      </c>
      <c r="F20" s="35">
        <f t="shared" ref="F20" si="3">E20*u</f>
        <v>118.47615431880669</v>
      </c>
      <c r="G20" s="35">
        <f t="shared" ref="G20" si="4">F20*u</f>
        <v>132.16218735854414</v>
      </c>
      <c r="H20" s="35">
        <f t="shared" ref="H20" si="5">G20*u</f>
        <v>147.4291925478397</v>
      </c>
      <c r="I20" s="35">
        <f t="shared" ref="I20" si="6">H20*u</f>
        <v>164.45979935502959</v>
      </c>
      <c r="J20" s="35">
        <f t="shared" ref="J20" si="7">I20*u</f>
        <v>183.4577340923849</v>
      </c>
      <c r="K20" s="35">
        <f t="shared" ref="K20" si="8">J20*u</f>
        <v>204.65025696434972</v>
      </c>
      <c r="L20" s="35">
        <f t="shared" ref="L20" si="9">K20*u</f>
        <v>228.29088063675604</v>
      </c>
      <c r="M20" s="35">
        <f t="shared" ref="M20" si="10">L20*u</f>
        <v>254.66240284752919</v>
      </c>
      <c r="N20" s="35">
        <f t="shared" ref="N20" si="11">M20*u</f>
        <v>284.08028933607602</v>
      </c>
      <c r="O20" s="24"/>
      <c r="P20" s="25">
        <f>BINOMDIST(Q20,12,p,FALSE)</f>
        <v>2.4414062500000016E-4</v>
      </c>
      <c r="Q20" s="2">
        <v>12</v>
      </c>
      <c r="S20" s="26">
        <f t="shared" ref="S20:S32" si="12">LN(N20/S0)</f>
        <v>1.2672302724625304</v>
      </c>
    </row>
    <row r="21" spans="2:19" x14ac:dyDescent="0.25">
      <c r="B21" s="35"/>
      <c r="C21" s="35">
        <f>B20*d</f>
        <v>67.749505084170153</v>
      </c>
      <c r="D21" s="35">
        <f t="shared" ref="D21:N32" si="13">C20*d</f>
        <v>75.575737884677466</v>
      </c>
      <c r="E21" s="35">
        <f t="shared" si="13"/>
        <v>84.306035146934605</v>
      </c>
      <c r="F21" s="35">
        <f t="shared" si="13"/>
        <v>94.04483186180282</v>
      </c>
      <c r="G21" s="35">
        <f t="shared" si="13"/>
        <v>104.90862705736373</v>
      </c>
      <c r="H21" s="35">
        <f t="shared" si="13"/>
        <v>117.02737740266136</v>
      </c>
      <c r="I21" s="35">
        <f t="shared" si="13"/>
        <v>130.54605179663943</v>
      </c>
      <c r="J21" s="35">
        <f t="shared" si="13"/>
        <v>145.62636553883246</v>
      </c>
      <c r="K21" s="35">
        <f t="shared" si="13"/>
        <v>162.44871482659096</v>
      </c>
      <c r="L21" s="35">
        <f t="shared" si="13"/>
        <v>181.21433472000007</v>
      </c>
      <c r="M21" s="35">
        <f t="shared" si="13"/>
        <v>202.14770638885304</v>
      </c>
      <c r="N21" s="35">
        <f t="shared" si="13"/>
        <v>225.49924243804281</v>
      </c>
      <c r="O21" s="24"/>
      <c r="P21" s="27">
        <f t="shared" ref="P21:P32" si="14">BINOMDIST(Q21,12,p,FALSE)</f>
        <v>2.9296874999999996E-3</v>
      </c>
      <c r="Q21" s="2">
        <v>11</v>
      </c>
      <c r="S21" s="26">
        <f t="shared" si="12"/>
        <v>1.0362901647866798</v>
      </c>
    </row>
    <row r="22" spans="2:19" x14ac:dyDescent="0.25">
      <c r="B22" s="35"/>
      <c r="C22" s="35"/>
      <c r="D22" s="35">
        <f t="shared" si="13"/>
        <v>59.991038728946499</v>
      </c>
      <c r="E22" s="35">
        <f t="shared" si="13"/>
        <v>66.921035257388837</v>
      </c>
      <c r="F22" s="35">
        <f t="shared" si="13"/>
        <v>74.651565547235293</v>
      </c>
      <c r="G22" s="35">
        <f t="shared" si="13"/>
        <v>83.275105013230672</v>
      </c>
      <c r="H22" s="35">
        <f t="shared" si="13"/>
        <v>92.894811570651939</v>
      </c>
      <c r="I22" s="35">
        <f t="shared" si="13"/>
        <v>103.62575964780702</v>
      </c>
      <c r="J22" s="35">
        <f t="shared" si="13"/>
        <v>115.59631674819606</v>
      </c>
      <c r="K22" s="35">
        <f t="shared" si="13"/>
        <v>128.94967902927266</v>
      </c>
      <c r="L22" s="35">
        <f t="shared" si="13"/>
        <v>143.84558426695662</v>
      </c>
      <c r="M22" s="35">
        <f t="shared" si="13"/>
        <v>160.46222269700226</v>
      </c>
      <c r="N22" s="35">
        <f t="shared" si="13"/>
        <v>178.99836859140254</v>
      </c>
      <c r="O22" s="24"/>
      <c r="P22" s="27">
        <f t="shared" si="14"/>
        <v>1.6113281250000003E-2</v>
      </c>
      <c r="Q22" s="2">
        <v>10</v>
      </c>
      <c r="S22" s="26">
        <f t="shared" si="12"/>
        <v>0.80535005711082963</v>
      </c>
    </row>
    <row r="23" spans="2:19" x14ac:dyDescent="0.25">
      <c r="B23" s="35"/>
      <c r="C23" s="35"/>
      <c r="D23" s="35"/>
      <c r="E23" s="35">
        <f t="shared" si="13"/>
        <v>53.121048239492701</v>
      </c>
      <c r="F23" s="35">
        <f t="shared" si="13"/>
        <v>59.257442735847292</v>
      </c>
      <c r="G23" s="35">
        <f t="shared" si="13"/>
        <v>66.102696312789391</v>
      </c>
      <c r="H23" s="35">
        <f t="shared" si="13"/>
        <v>73.738694383069088</v>
      </c>
      <c r="I23" s="35">
        <f t="shared" si="13"/>
        <v>82.256781532641483</v>
      </c>
      <c r="J23" s="35">
        <f t="shared" si="13"/>
        <v>91.758854217823952</v>
      </c>
      <c r="K23" s="35">
        <f t="shared" si="13"/>
        <v>102.35857968776391</v>
      </c>
      <c r="L23" s="35">
        <f t="shared" si="13"/>
        <v>114.18275571341128</v>
      </c>
      <c r="M23" s="35">
        <f t="shared" si="13"/>
        <v>127.37282738856825</v>
      </c>
      <c r="N23" s="35">
        <f t="shared" si="13"/>
        <v>142.08657914754139</v>
      </c>
      <c r="O23" s="24"/>
      <c r="P23" s="27">
        <f t="shared" si="14"/>
        <v>5.3710937499999965E-2</v>
      </c>
      <c r="Q23" s="2">
        <v>9</v>
      </c>
      <c r="S23" s="26">
        <f t="shared" si="12"/>
        <v>0.57440994943497892</v>
      </c>
    </row>
    <row r="24" spans="2:19" x14ac:dyDescent="0.25">
      <c r="B24" s="35"/>
      <c r="C24" s="35"/>
      <c r="D24" s="35"/>
      <c r="E24" s="35"/>
      <c r="F24" s="35">
        <f t="shared" si="13"/>
        <v>47.037788073853292</v>
      </c>
      <c r="G24" s="35">
        <f t="shared" si="13"/>
        <v>52.47146141847108</v>
      </c>
      <c r="H24" s="35">
        <f t="shared" si="13"/>
        <v>58.532817467251178</v>
      </c>
      <c r="I24" s="35">
        <f t="shared" si="13"/>
        <v>65.294364365626151</v>
      </c>
      <c r="J24" s="35">
        <f t="shared" si="13"/>
        <v>72.836986196614816</v>
      </c>
      <c r="K24" s="35">
        <f t="shared" si="13"/>
        <v>81.25091054563913</v>
      </c>
      <c r="L24" s="35">
        <f t="shared" si="13"/>
        <v>90.636787835714642</v>
      </c>
      <c r="M24" s="35">
        <f t="shared" si="13"/>
        <v>101.10689534441485</v>
      </c>
      <c r="N24" s="35">
        <f t="shared" si="13"/>
        <v>112.78648030549833</v>
      </c>
      <c r="O24" s="24"/>
      <c r="P24" s="27">
        <f t="shared" si="14"/>
        <v>0.12084960937500001</v>
      </c>
      <c r="Q24" s="2">
        <v>8</v>
      </c>
      <c r="S24" s="26">
        <f t="shared" si="12"/>
        <v>0.34346984175912898</v>
      </c>
    </row>
    <row r="25" spans="2:19" x14ac:dyDescent="0.25">
      <c r="B25" s="35"/>
      <c r="C25" s="35"/>
      <c r="D25" s="35"/>
      <c r="E25" s="35"/>
      <c r="F25" s="35"/>
      <c r="G25" s="35">
        <f t="shared" si="13"/>
        <v>41.651164278716514</v>
      </c>
      <c r="H25" s="35">
        <f t="shared" si="13"/>
        <v>46.462589951161377</v>
      </c>
      <c r="I25" s="35">
        <f t="shared" si="13"/>
        <v>51.829818021986995</v>
      </c>
      <c r="J25" s="35">
        <f t="shared" si="13"/>
        <v>57.817053225315114</v>
      </c>
      <c r="K25" s="35">
        <f t="shared" si="13"/>
        <v>64.495917046068897</v>
      </c>
      <c r="L25" s="35">
        <f t="shared" si="13"/>
        <v>71.946304482222757</v>
      </c>
      <c r="M25" s="35">
        <f t="shared" si="13"/>
        <v>80.257339777824086</v>
      </c>
      <c r="N25" s="35">
        <f t="shared" si="13"/>
        <v>89.528442559612927</v>
      </c>
      <c r="O25" s="24"/>
      <c r="P25" s="27">
        <f t="shared" si="14"/>
        <v>0.19335937500000006</v>
      </c>
      <c r="Q25" s="2">
        <v>7</v>
      </c>
      <c r="S25" s="26">
        <f t="shared" si="12"/>
        <v>0.11252973408327818</v>
      </c>
    </row>
    <row r="26" spans="2:19" x14ac:dyDescent="0.25">
      <c r="B26" s="35"/>
      <c r="C26" s="35"/>
      <c r="D26" s="35"/>
      <c r="E26" s="35"/>
      <c r="F26" s="35"/>
      <c r="G26" s="35"/>
      <c r="H26" s="35">
        <f t="shared" si="13"/>
        <v>36.881400185077105</v>
      </c>
      <c r="I26" s="35">
        <f t="shared" si="13"/>
        <v>41.141836087870573</v>
      </c>
      <c r="J26" s="35">
        <f t="shared" si="13"/>
        <v>45.894425596295207</v>
      </c>
      <c r="K26" s="35">
        <f t="shared" si="13"/>
        <v>51.196020914459275</v>
      </c>
      <c r="L26" s="35">
        <f t="shared" si="13"/>
        <v>57.110041653628009</v>
      </c>
      <c r="M26" s="35">
        <f t="shared" si="13"/>
        <v>63.7072334806779</v>
      </c>
      <c r="N26" s="35">
        <f t="shared" si="13"/>
        <v>71.066514403492448</v>
      </c>
      <c r="O26" s="24"/>
      <c r="P26" s="27">
        <f t="shared" si="14"/>
        <v>0.22558593750000003</v>
      </c>
      <c r="Q26" s="2">
        <v>6</v>
      </c>
      <c r="S26" s="26">
        <f t="shared" si="12"/>
        <v>-0.11841037359257206</v>
      </c>
    </row>
    <row r="27" spans="2:19" x14ac:dyDescent="0.25">
      <c r="B27" s="35"/>
      <c r="C27" s="35"/>
      <c r="D27" s="35"/>
      <c r="E27" s="35"/>
      <c r="F27" s="35"/>
      <c r="G27" s="35"/>
      <c r="H27" s="35"/>
      <c r="I27" s="35">
        <f t="shared" si="13"/>
        <v>32.657854904355666</v>
      </c>
      <c r="J27" s="35">
        <f t="shared" si="13"/>
        <v>36.430398702707272</v>
      </c>
      <c r="K27" s="35">
        <f t="shared" si="13"/>
        <v>40.638736179246337</v>
      </c>
      <c r="L27" s="35">
        <f t="shared" si="13"/>
        <v>45.333208997343647</v>
      </c>
      <c r="M27" s="35">
        <f t="shared" si="13"/>
        <v>50.569974148122014</v>
      </c>
      <c r="N27" s="35">
        <f t="shared" si="13"/>
        <v>56.411675720807196</v>
      </c>
      <c r="O27" s="24"/>
      <c r="P27" s="27">
        <f t="shared" si="14"/>
        <v>0.19335937500000006</v>
      </c>
      <c r="Q27" s="2">
        <v>5</v>
      </c>
      <c r="S27" s="26">
        <f t="shared" si="12"/>
        <v>-0.3493504812684225</v>
      </c>
    </row>
    <row r="28" spans="2:19" x14ac:dyDescent="0.25">
      <c r="B28" s="35"/>
      <c r="C28" s="35"/>
      <c r="D28" s="35"/>
      <c r="E28" s="35"/>
      <c r="F28" s="35"/>
      <c r="G28" s="35"/>
      <c r="H28" s="35"/>
      <c r="I28" s="35"/>
      <c r="J28" s="35">
        <f t="shared" si="13"/>
        <v>28.917977126733039</v>
      </c>
      <c r="K28" s="35">
        <f t="shared" si="13"/>
        <v>32.258500733988704</v>
      </c>
      <c r="L28" s="35">
        <f t="shared" si="13"/>
        <v>35.984912258705812</v>
      </c>
      <c r="M28" s="35">
        <f t="shared" si="13"/>
        <v>40.141788390753973</v>
      </c>
      <c r="N28" s="35">
        <f t="shared" si="13"/>
        <v>44.778855194185816</v>
      </c>
      <c r="O28" s="24"/>
      <c r="P28" s="27">
        <f t="shared" si="14"/>
        <v>0.12084960937500001</v>
      </c>
      <c r="Q28" s="2">
        <v>4</v>
      </c>
      <c r="S28" s="26">
        <f t="shared" si="12"/>
        <v>-0.58029058894427288</v>
      </c>
    </row>
    <row r="29" spans="2:19" x14ac:dyDescent="0.25">
      <c r="B29" s="35"/>
      <c r="C29" s="35"/>
      <c r="D29" s="35"/>
      <c r="E29" s="35"/>
      <c r="F29" s="35"/>
      <c r="G29" s="35"/>
      <c r="H29" s="35"/>
      <c r="I29" s="35"/>
      <c r="J29" s="35"/>
      <c r="K29" s="35">
        <f t="shared" si="13"/>
        <v>25.60637872730344</v>
      </c>
      <c r="L29" s="35">
        <f t="shared" si="13"/>
        <v>28.564355775975031</v>
      </c>
      <c r="M29" s="35">
        <f t="shared" si="13"/>
        <v>31.864030036643985</v>
      </c>
      <c r="N29" s="35">
        <f t="shared" si="13"/>
        <v>35.544873412832743</v>
      </c>
      <c r="O29" s="24"/>
      <c r="P29" s="27">
        <f t="shared" si="14"/>
        <v>5.3710937499999965E-2</v>
      </c>
      <c r="Q29" s="2">
        <v>3</v>
      </c>
      <c r="S29" s="26">
        <f t="shared" si="12"/>
        <v>-0.81123069662012304</v>
      </c>
    </row>
    <row r="30" spans="2:19" x14ac:dyDescent="0.2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>
        <f t="shared" si="13"/>
        <v>22.674014460020885</v>
      </c>
      <c r="M30" s="35">
        <f t="shared" si="13"/>
        <v>25.293253013361319</v>
      </c>
      <c r="N30" s="35">
        <f t="shared" si="13"/>
        <v>28.215058657827214</v>
      </c>
      <c r="O30" s="24"/>
      <c r="P30" s="27">
        <f t="shared" si="14"/>
        <v>1.611328125000001E-2</v>
      </c>
      <c r="Q30" s="2">
        <v>2</v>
      </c>
      <c r="S30" s="26">
        <f t="shared" si="12"/>
        <v>-1.0421708042959736</v>
      </c>
    </row>
    <row r="31" spans="2:19" x14ac:dyDescent="0.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>
        <f t="shared" si="13"/>
        <v>20.07745559058894</v>
      </c>
      <c r="N31" s="35">
        <f t="shared" si="13"/>
        <v>22.39674694627605</v>
      </c>
      <c r="O31" s="24"/>
      <c r="P31" s="27">
        <f t="shared" si="14"/>
        <v>2.9296874999999996E-3</v>
      </c>
      <c r="Q31" s="2">
        <v>1</v>
      </c>
      <c r="S31" s="26">
        <f t="shared" si="12"/>
        <v>-1.273110911971824</v>
      </c>
    </row>
    <row r="32" spans="2:19" ht="15.75" thickBot="1" x14ac:dyDescent="0.3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>
        <f t="shared" si="13"/>
        <v>17.778246710692969</v>
      </c>
      <c r="O32" s="24"/>
      <c r="P32" s="28">
        <f t="shared" si="14"/>
        <v>2.4414062500000016E-4</v>
      </c>
      <c r="Q32" s="2">
        <v>0</v>
      </c>
      <c r="S32" s="26">
        <f t="shared" si="12"/>
        <v>-1.5040510196476742</v>
      </c>
    </row>
    <row r="35" spans="2:19" x14ac:dyDescent="0.25">
      <c r="P35" s="23"/>
    </row>
    <row r="37" spans="2:19" ht="15.75" thickBot="1" x14ac:dyDescent="0.3">
      <c r="B37" s="1" t="s">
        <v>15</v>
      </c>
    </row>
    <row r="38" spans="2:19" ht="15.75" thickBot="1" x14ac:dyDescent="0.3">
      <c r="B38" s="20">
        <v>0</v>
      </c>
      <c r="C38" s="21">
        <v>1</v>
      </c>
      <c r="D38" s="21">
        <v>2</v>
      </c>
      <c r="E38" s="21">
        <v>3</v>
      </c>
      <c r="F38" s="21">
        <v>4</v>
      </c>
      <c r="G38" s="21">
        <v>5</v>
      </c>
      <c r="H38" s="21">
        <v>6</v>
      </c>
      <c r="I38" s="21">
        <v>7</v>
      </c>
      <c r="J38" s="21">
        <v>8</v>
      </c>
      <c r="K38" s="21">
        <v>9</v>
      </c>
      <c r="L38" s="21">
        <v>10</v>
      </c>
      <c r="M38" s="21">
        <v>11</v>
      </c>
      <c r="N38" s="22">
        <v>12</v>
      </c>
    </row>
    <row r="39" spans="2:19" x14ac:dyDescent="0.25">
      <c r="B39" s="34">
        <f t="shared" ref="B39:N39" si="15">B38*Deltat</f>
        <v>0</v>
      </c>
      <c r="C39" s="34">
        <f t="shared" si="15"/>
        <v>8.3333333333333329E-2</v>
      </c>
      <c r="D39" s="34">
        <f t="shared" si="15"/>
        <v>0.16666666666666666</v>
      </c>
      <c r="E39" s="34">
        <f t="shared" si="15"/>
        <v>0.25</v>
      </c>
      <c r="F39" s="34">
        <f t="shared" si="15"/>
        <v>0.33333333333333331</v>
      </c>
      <c r="G39" s="34">
        <f t="shared" si="15"/>
        <v>0.41666666666666663</v>
      </c>
      <c r="H39" s="34">
        <f t="shared" si="15"/>
        <v>0.5</v>
      </c>
      <c r="I39" s="34">
        <f t="shared" si="15"/>
        <v>0.58333333333333326</v>
      </c>
      <c r="J39" s="34">
        <f t="shared" si="15"/>
        <v>0.66666666666666663</v>
      </c>
      <c r="K39" s="34">
        <f t="shared" si="15"/>
        <v>0.75</v>
      </c>
      <c r="L39" s="34">
        <f t="shared" si="15"/>
        <v>0.83333333333333326</v>
      </c>
      <c r="M39" s="34">
        <f t="shared" si="15"/>
        <v>0.91666666666666663</v>
      </c>
      <c r="N39" s="34">
        <f t="shared" si="15"/>
        <v>1</v>
      </c>
    </row>
    <row r="40" spans="2:19" x14ac:dyDescent="0.25">
      <c r="B40" s="37">
        <f>IF(B38&lt;=Tiempo1,dividendo1*EXP(-tipo*(Tiempo1-B38)*Deltat),0)+IF(B38&lt;=Tiempo2,dividendo2*EXP(-tipo*(Tiempo2-B38)*Deltat),0)</f>
        <v>3.4886486982052949</v>
      </c>
      <c r="C40" s="37">
        <f t="shared" ref="C40:N40" si="16">IF(C38&lt;=Tiempo1,dividendo1*EXP(-tipo*(Tiempo1-C38)*Deltat),0)+IF(C38&lt;=Tiempo2,dividendo2*EXP(-tipo*(Tiempo2-C38)*Deltat),0)</f>
        <v>3.4903934587081742</v>
      </c>
      <c r="D40" s="37">
        <f t="shared" si="16"/>
        <v>3.4921390918094364</v>
      </c>
      <c r="E40" s="37">
        <f t="shared" si="16"/>
        <v>1.9935105510665829</v>
      </c>
      <c r="F40" s="37">
        <f t="shared" si="16"/>
        <v>1.9945075555724716</v>
      </c>
      <c r="G40" s="37">
        <f t="shared" si="16"/>
        <v>1.9955050587052598</v>
      </c>
      <c r="H40" s="37">
        <f t="shared" si="16"/>
        <v>1.996503060714323</v>
      </c>
      <c r="I40" s="37">
        <f t="shared" si="16"/>
        <v>1.9975015618491618</v>
      </c>
      <c r="J40" s="37">
        <f t="shared" si="16"/>
        <v>1.9985005623594014</v>
      </c>
      <c r="K40" s="37">
        <f t="shared" si="16"/>
        <v>1.9995000624947921</v>
      </c>
      <c r="L40" s="37">
        <f t="shared" si="16"/>
        <v>0</v>
      </c>
      <c r="M40" s="37">
        <f t="shared" si="16"/>
        <v>0</v>
      </c>
      <c r="N40" s="37">
        <f t="shared" si="16"/>
        <v>0</v>
      </c>
    </row>
    <row r="44" spans="2:19" ht="15.75" thickBot="1" x14ac:dyDescent="0.3">
      <c r="B44" s="1" t="s">
        <v>18</v>
      </c>
    </row>
    <row r="45" spans="2:19" ht="15.75" thickBot="1" x14ac:dyDescent="0.3">
      <c r="B45" s="31">
        <v>0</v>
      </c>
      <c r="C45" s="32">
        <v>1</v>
      </c>
      <c r="D45" s="32">
        <v>2</v>
      </c>
      <c r="E45" s="32">
        <v>3</v>
      </c>
      <c r="F45" s="32">
        <v>4</v>
      </c>
      <c r="G45" s="32">
        <v>5</v>
      </c>
      <c r="H45" s="32">
        <v>6</v>
      </c>
      <c r="I45" s="32">
        <v>7</v>
      </c>
      <c r="J45" s="32">
        <v>8</v>
      </c>
      <c r="K45" s="32">
        <v>9</v>
      </c>
      <c r="L45" s="32">
        <v>10</v>
      </c>
      <c r="M45" s="32">
        <v>11</v>
      </c>
      <c r="N45" s="33">
        <v>12</v>
      </c>
      <c r="S45" s="2" t="s">
        <v>25</v>
      </c>
    </row>
    <row r="46" spans="2:19" x14ac:dyDescent="0.25">
      <c r="B46" s="34">
        <f t="shared" ref="B46:N46" si="17">B45*Deltat</f>
        <v>0</v>
      </c>
      <c r="C46" s="34">
        <f t="shared" si="17"/>
        <v>8.3333333333333329E-2</v>
      </c>
      <c r="D46" s="34">
        <f t="shared" si="17"/>
        <v>0.16666666666666666</v>
      </c>
      <c r="E46" s="34">
        <f t="shared" si="17"/>
        <v>0.25</v>
      </c>
      <c r="F46" s="34">
        <f t="shared" si="17"/>
        <v>0.33333333333333331</v>
      </c>
      <c r="G46" s="34">
        <f t="shared" si="17"/>
        <v>0.41666666666666663</v>
      </c>
      <c r="H46" s="34">
        <f t="shared" si="17"/>
        <v>0.5</v>
      </c>
      <c r="I46" s="34">
        <f t="shared" si="17"/>
        <v>0.58333333333333326</v>
      </c>
      <c r="J46" s="34">
        <f t="shared" si="17"/>
        <v>0.66666666666666663</v>
      </c>
      <c r="K46" s="34">
        <f t="shared" si="17"/>
        <v>0.75</v>
      </c>
      <c r="L46" s="34">
        <f t="shared" si="17"/>
        <v>0.83333333333333326</v>
      </c>
      <c r="M46" s="34">
        <f t="shared" si="17"/>
        <v>0.91666666666666663</v>
      </c>
      <c r="N46" s="34">
        <f t="shared" si="17"/>
        <v>1</v>
      </c>
    </row>
    <row r="47" spans="2:19" x14ac:dyDescent="0.25">
      <c r="B47" s="48">
        <f t="shared" ref="B47:N54" si="18">B20+B$40</f>
        <v>80</v>
      </c>
      <c r="C47" s="48">
        <f t="shared" si="18"/>
        <v>88.840121460455393</v>
      </c>
      <c r="D47" s="48">
        <f t="shared" si="18"/>
        <v>98.701228279616814</v>
      </c>
      <c r="E47" s="49">
        <f t="shared" si="18"/>
        <v>108.20088667517435</v>
      </c>
      <c r="F47" s="48">
        <f t="shared" si="18"/>
        <v>120.47066187437916</v>
      </c>
      <c r="G47" s="48">
        <f t="shared" si="18"/>
        <v>134.15769241724939</v>
      </c>
      <c r="H47" s="48">
        <f t="shared" si="18"/>
        <v>149.42569560855404</v>
      </c>
      <c r="I47" s="48">
        <f t="shared" si="18"/>
        <v>166.45730091687875</v>
      </c>
      <c r="J47" s="48">
        <f t="shared" si="18"/>
        <v>185.45623465474429</v>
      </c>
      <c r="K47" s="48">
        <f t="shared" si="18"/>
        <v>206.64975702684453</v>
      </c>
      <c r="L47" s="48">
        <f t="shared" si="18"/>
        <v>228.29088063675604</v>
      </c>
      <c r="M47" s="48">
        <f t="shared" si="18"/>
        <v>254.66240284752919</v>
      </c>
      <c r="N47" s="48">
        <f t="shared" si="18"/>
        <v>284.08028933607602</v>
      </c>
      <c r="S47" s="26">
        <f>LN(N47/S0)</f>
        <v>1.2672302724625304</v>
      </c>
    </row>
    <row r="48" spans="2:19" x14ac:dyDescent="0.25">
      <c r="B48" s="35"/>
      <c r="C48" s="48">
        <f t="shared" si="18"/>
        <v>71.239898542878322</v>
      </c>
      <c r="D48" s="48">
        <f t="shared" si="18"/>
        <v>79.0678769764869</v>
      </c>
      <c r="E48" s="49">
        <f t="shared" si="18"/>
        <v>86.299545698001182</v>
      </c>
      <c r="F48" s="48">
        <f t="shared" si="18"/>
        <v>96.039339417375288</v>
      </c>
      <c r="G48" s="48">
        <f t="shared" si="18"/>
        <v>106.90413211606899</v>
      </c>
      <c r="H48" s="48">
        <f t="shared" si="18"/>
        <v>119.02388046337568</v>
      </c>
      <c r="I48" s="48">
        <f t="shared" si="18"/>
        <v>132.54355335848859</v>
      </c>
      <c r="J48" s="48">
        <f t="shared" si="18"/>
        <v>147.62486610119186</v>
      </c>
      <c r="K48" s="48">
        <f t="shared" si="18"/>
        <v>164.44821488908576</v>
      </c>
      <c r="L48" s="48">
        <f t="shared" si="18"/>
        <v>181.21433472000007</v>
      </c>
      <c r="M48" s="48">
        <f t="shared" si="18"/>
        <v>202.14770638885304</v>
      </c>
      <c r="N48" s="48">
        <f t="shared" si="18"/>
        <v>225.49924243804281</v>
      </c>
      <c r="S48" s="26">
        <f t="shared" ref="S48:S59" si="19">LN(N48/S0)</f>
        <v>1.0362901647866798</v>
      </c>
    </row>
    <row r="49" spans="2:19" x14ac:dyDescent="0.25">
      <c r="B49" s="35"/>
      <c r="C49" s="35"/>
      <c r="D49" s="48">
        <f t="shared" si="18"/>
        <v>63.483177820755934</v>
      </c>
      <c r="E49" s="49">
        <f t="shared" si="18"/>
        <v>68.914545808455415</v>
      </c>
      <c r="F49" s="48">
        <f t="shared" si="18"/>
        <v>76.646073102807762</v>
      </c>
      <c r="G49" s="48">
        <f t="shared" si="18"/>
        <v>85.270610071935934</v>
      </c>
      <c r="H49" s="48">
        <f t="shared" si="18"/>
        <v>94.891314631366257</v>
      </c>
      <c r="I49" s="48">
        <f t="shared" si="18"/>
        <v>105.62326120965618</v>
      </c>
      <c r="J49" s="48">
        <f t="shared" si="18"/>
        <v>117.59481731055546</v>
      </c>
      <c r="K49" s="48">
        <f t="shared" si="18"/>
        <v>130.94917909176746</v>
      </c>
      <c r="L49" s="48">
        <f t="shared" si="18"/>
        <v>143.84558426695662</v>
      </c>
      <c r="M49" s="48">
        <f t="shared" si="18"/>
        <v>160.46222269700226</v>
      </c>
      <c r="N49" s="48">
        <f t="shared" si="18"/>
        <v>178.99836859140254</v>
      </c>
      <c r="S49" s="26">
        <f t="shared" si="19"/>
        <v>0.80535005711082963</v>
      </c>
    </row>
    <row r="50" spans="2:19" x14ac:dyDescent="0.25">
      <c r="B50" s="35"/>
      <c r="C50" s="35"/>
      <c r="D50" s="35"/>
      <c r="E50" s="49">
        <f t="shared" si="18"/>
        <v>55.114558790559286</v>
      </c>
      <c r="F50" s="48">
        <f t="shared" si="18"/>
        <v>61.25195029141976</v>
      </c>
      <c r="G50" s="48">
        <f t="shared" si="18"/>
        <v>68.098201371494653</v>
      </c>
      <c r="H50" s="48">
        <f t="shared" si="18"/>
        <v>75.735197443783406</v>
      </c>
      <c r="I50" s="48">
        <f t="shared" si="18"/>
        <v>84.254283094490646</v>
      </c>
      <c r="J50" s="48">
        <f t="shared" si="18"/>
        <v>93.757354780183348</v>
      </c>
      <c r="K50" s="48">
        <f t="shared" si="18"/>
        <v>104.3580797502587</v>
      </c>
      <c r="L50" s="48">
        <f t="shared" si="18"/>
        <v>114.18275571341128</v>
      </c>
      <c r="M50" s="48">
        <f t="shared" si="18"/>
        <v>127.37282738856825</v>
      </c>
      <c r="N50" s="48">
        <f t="shared" si="18"/>
        <v>142.08657914754139</v>
      </c>
      <c r="S50" s="26">
        <f t="shared" si="19"/>
        <v>0.57440994943497892</v>
      </c>
    </row>
    <row r="51" spans="2:19" x14ac:dyDescent="0.25">
      <c r="B51" s="35"/>
      <c r="C51" s="35"/>
      <c r="D51" s="35"/>
      <c r="E51" s="35"/>
      <c r="F51" s="48">
        <f t="shared" si="18"/>
        <v>49.032295629425761</v>
      </c>
      <c r="G51" s="48">
        <f t="shared" si="18"/>
        <v>54.466966477176342</v>
      </c>
      <c r="H51" s="48">
        <f t="shared" si="18"/>
        <v>60.529320527965503</v>
      </c>
      <c r="I51" s="48">
        <f t="shared" si="18"/>
        <v>67.291865927475314</v>
      </c>
      <c r="J51" s="48">
        <f t="shared" si="18"/>
        <v>74.835486758974213</v>
      </c>
      <c r="K51" s="48">
        <f t="shared" si="18"/>
        <v>83.250410608133919</v>
      </c>
      <c r="L51" s="48">
        <f t="shared" si="18"/>
        <v>90.636787835714642</v>
      </c>
      <c r="M51" s="48">
        <f t="shared" si="18"/>
        <v>101.10689534441485</v>
      </c>
      <c r="N51" s="48">
        <f t="shared" si="18"/>
        <v>112.78648030549833</v>
      </c>
      <c r="S51" s="26">
        <f t="shared" si="19"/>
        <v>0.34346984175912898</v>
      </c>
    </row>
    <row r="52" spans="2:19" x14ac:dyDescent="0.25">
      <c r="B52" s="35"/>
      <c r="C52" s="35"/>
      <c r="D52" s="35"/>
      <c r="E52" s="35"/>
      <c r="F52" s="35"/>
      <c r="G52" s="48">
        <f t="shared" si="18"/>
        <v>43.646669337421777</v>
      </c>
      <c r="H52" s="48">
        <f t="shared" si="18"/>
        <v>48.459093011875702</v>
      </c>
      <c r="I52" s="48">
        <f t="shared" si="18"/>
        <v>53.827319583836157</v>
      </c>
      <c r="J52" s="48">
        <f t="shared" si="18"/>
        <v>59.815553787674517</v>
      </c>
      <c r="K52" s="48">
        <f t="shared" si="18"/>
        <v>66.495417108563686</v>
      </c>
      <c r="L52" s="48">
        <f t="shared" si="18"/>
        <v>71.946304482222757</v>
      </c>
      <c r="M52" s="48">
        <f t="shared" si="18"/>
        <v>80.257339777824086</v>
      </c>
      <c r="N52" s="48">
        <f t="shared" si="18"/>
        <v>89.528442559612927</v>
      </c>
      <c r="S52" s="26">
        <f t="shared" si="19"/>
        <v>0.11252973408327818</v>
      </c>
    </row>
    <row r="53" spans="2:19" x14ac:dyDescent="0.25">
      <c r="B53" s="35" t="s">
        <v>26</v>
      </c>
      <c r="C53" s="35"/>
      <c r="D53" s="35" t="s">
        <v>28</v>
      </c>
      <c r="E53" s="35"/>
      <c r="F53" s="35"/>
      <c r="G53" s="35"/>
      <c r="H53" s="48">
        <f t="shared" si="18"/>
        <v>38.87790324579143</v>
      </c>
      <c r="I53" s="48">
        <f t="shared" si="18"/>
        <v>43.139337649719735</v>
      </c>
      <c r="J53" s="48">
        <f t="shared" si="18"/>
        <v>47.89292615865461</v>
      </c>
      <c r="K53" s="48">
        <f t="shared" si="18"/>
        <v>53.195520976954064</v>
      </c>
      <c r="L53" s="48">
        <f t="shared" si="18"/>
        <v>57.110041653628009</v>
      </c>
      <c r="M53" s="48">
        <f t="shared" si="18"/>
        <v>63.7072334806779</v>
      </c>
      <c r="N53" s="48">
        <f t="shared" si="18"/>
        <v>71.066514403492448</v>
      </c>
      <c r="S53" s="26">
        <f t="shared" si="19"/>
        <v>-0.11841037359257206</v>
      </c>
    </row>
    <row r="54" spans="2:19" x14ac:dyDescent="0.25">
      <c r="B54" s="35" t="s">
        <v>27</v>
      </c>
      <c r="C54" s="35"/>
      <c r="D54" s="35"/>
      <c r="E54" s="35"/>
      <c r="F54" s="35"/>
      <c r="G54" s="35"/>
      <c r="H54" s="35"/>
      <c r="I54" s="48">
        <f t="shared" si="18"/>
        <v>34.655356466204829</v>
      </c>
      <c r="J54" s="48">
        <f t="shared" si="18"/>
        <v>38.428899265066676</v>
      </c>
      <c r="K54" s="48">
        <f t="shared" si="18"/>
        <v>42.638236241741126</v>
      </c>
      <c r="L54" s="48">
        <f t="shared" si="18"/>
        <v>45.333208997343647</v>
      </c>
      <c r="M54" s="48">
        <f t="shared" si="18"/>
        <v>50.569974148122014</v>
      </c>
      <c r="N54" s="48">
        <f t="shared" si="18"/>
        <v>56.411675720807196</v>
      </c>
      <c r="S54" s="26">
        <f t="shared" si="19"/>
        <v>-0.3493504812684225</v>
      </c>
    </row>
    <row r="55" spans="2:19" x14ac:dyDescent="0.25">
      <c r="B55" s="35">
        <f>SUMPRODUCT(N47:N59,P20:P32)*Descuento^12</f>
        <v>76.511351301794591</v>
      </c>
      <c r="C55" s="35"/>
      <c r="D55" s="50">
        <f>SQRT(SUMPRODUCT(S47:S59^2,probs)-SUMPRODUCT(S47:S59,probs)^2)</f>
        <v>0.40000000000000013</v>
      </c>
      <c r="E55" s="35"/>
      <c r="F55" s="35"/>
      <c r="G55" s="35"/>
      <c r="H55" s="35"/>
      <c r="I55" s="35"/>
      <c r="J55" s="48">
        <f>J28+J$40</f>
        <v>30.916477689092439</v>
      </c>
      <c r="K55" s="48">
        <f>K28+K$40</f>
        <v>34.258000796483493</v>
      </c>
      <c r="L55" s="48">
        <f>L28+L$40</f>
        <v>35.984912258705812</v>
      </c>
      <c r="M55" s="48">
        <f>M28+M$40</f>
        <v>40.141788390753973</v>
      </c>
      <c r="N55" s="48">
        <f>N28+N$40</f>
        <v>44.778855194185816</v>
      </c>
      <c r="S55" s="26">
        <f t="shared" si="19"/>
        <v>-0.58029058894427288</v>
      </c>
    </row>
    <row r="56" spans="2:19" x14ac:dyDescent="0.25">
      <c r="B56" s="35"/>
      <c r="C56" s="35"/>
      <c r="D56" s="35"/>
      <c r="E56" s="35"/>
      <c r="F56" s="35"/>
      <c r="G56" s="35"/>
      <c r="H56" s="35"/>
      <c r="I56" s="35"/>
      <c r="J56" s="35"/>
      <c r="K56" s="48">
        <f>K29+K$40</f>
        <v>27.605878789798233</v>
      </c>
      <c r="L56" s="48">
        <f>L29+L$40</f>
        <v>28.564355775975031</v>
      </c>
      <c r="M56" s="48">
        <f>M29+M$40</f>
        <v>31.864030036643985</v>
      </c>
      <c r="N56" s="48">
        <f>N29+N$40</f>
        <v>35.544873412832743</v>
      </c>
      <c r="S56" s="26">
        <f t="shared" si="19"/>
        <v>-0.81123069662012304</v>
      </c>
    </row>
    <row r="57" spans="2:19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48">
        <f>L30+L$40</f>
        <v>22.674014460020885</v>
      </c>
      <c r="M57" s="48">
        <f>M30+M$40</f>
        <v>25.293253013361319</v>
      </c>
      <c r="N57" s="48">
        <f>N30+N$40</f>
        <v>28.215058657827214</v>
      </c>
      <c r="S57" s="26">
        <f t="shared" si="19"/>
        <v>-1.0421708042959736</v>
      </c>
    </row>
    <row r="58" spans="2:19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48">
        <f>M31+M$40</f>
        <v>20.07745559058894</v>
      </c>
      <c r="N58" s="48">
        <f>N31+N$40</f>
        <v>22.39674694627605</v>
      </c>
      <c r="S58" s="26">
        <f t="shared" si="19"/>
        <v>-1.273110911971824</v>
      </c>
    </row>
    <row r="59" spans="2:19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48">
        <f>N32+N$40</f>
        <v>17.778246710692969</v>
      </c>
      <c r="S59" s="26">
        <f t="shared" si="19"/>
        <v>-1.5040510196476742</v>
      </c>
    </row>
    <row r="62" spans="2:19" ht="15.75" thickBot="1" x14ac:dyDescent="0.3">
      <c r="B62" s="1" t="s">
        <v>17</v>
      </c>
    </row>
    <row r="63" spans="2:19" ht="15.75" thickBot="1" x14ac:dyDescent="0.3">
      <c r="B63" s="20">
        <v>0</v>
      </c>
      <c r="C63" s="21">
        <v>1</v>
      </c>
      <c r="D63" s="21">
        <v>2</v>
      </c>
      <c r="E63" s="21">
        <v>3</v>
      </c>
      <c r="F63" s="21">
        <v>4</v>
      </c>
      <c r="G63" s="21">
        <v>5</v>
      </c>
      <c r="H63" s="21">
        <v>6</v>
      </c>
      <c r="I63" s="21">
        <v>7</v>
      </c>
      <c r="J63" s="21">
        <v>8</v>
      </c>
      <c r="K63" s="21">
        <v>9</v>
      </c>
      <c r="L63" s="21">
        <v>10</v>
      </c>
      <c r="M63" s="21">
        <v>11</v>
      </c>
      <c r="N63" s="22">
        <v>12</v>
      </c>
    </row>
    <row r="64" spans="2:19" x14ac:dyDescent="0.25">
      <c r="B64" s="34">
        <f t="shared" ref="B64:N64" si="20">B63*Deltat</f>
        <v>0</v>
      </c>
      <c r="C64" s="34">
        <f t="shared" si="20"/>
        <v>8.3333333333333329E-2</v>
      </c>
      <c r="D64" s="34">
        <f t="shared" si="20"/>
        <v>0.16666666666666666</v>
      </c>
      <c r="E64" s="34">
        <f t="shared" si="20"/>
        <v>0.25</v>
      </c>
      <c r="F64" s="34">
        <f t="shared" si="20"/>
        <v>0.33333333333333331</v>
      </c>
      <c r="G64" s="34">
        <f t="shared" si="20"/>
        <v>0.41666666666666663</v>
      </c>
      <c r="H64" s="34">
        <f t="shared" si="20"/>
        <v>0.5</v>
      </c>
      <c r="I64" s="34">
        <f t="shared" si="20"/>
        <v>0.58333333333333326</v>
      </c>
      <c r="J64" s="34">
        <f t="shared" si="20"/>
        <v>0.66666666666666663</v>
      </c>
      <c r="K64" s="34">
        <f t="shared" si="20"/>
        <v>0.75</v>
      </c>
      <c r="L64" s="34">
        <f t="shared" si="20"/>
        <v>0.83333333333333326</v>
      </c>
      <c r="M64" s="34">
        <f t="shared" si="20"/>
        <v>0.91666666666666663</v>
      </c>
      <c r="N64" s="34">
        <f t="shared" si="20"/>
        <v>1</v>
      </c>
    </row>
    <row r="65" spans="2:14" x14ac:dyDescent="0.25">
      <c r="B65" s="35">
        <f t="shared" ref="B65:N65" si="21">B20+dividendo1*EXP(tipo*Deltat*(-Tiempo1+B$63))+dividendo2*EXP(tipo*Deltat*(-Tiempo2+B$63))</f>
        <v>80</v>
      </c>
      <c r="C65" s="35">
        <f t="shared" si="21"/>
        <v>88.840121460455407</v>
      </c>
      <c r="D65" s="35">
        <f t="shared" si="21"/>
        <v>98.701228279616814</v>
      </c>
      <c r="E65" s="35">
        <f t="shared" si="21"/>
        <v>109.70126172205325</v>
      </c>
      <c r="F65" s="35">
        <f t="shared" si="21"/>
        <v>121.97178729635965</v>
      </c>
      <c r="G65" s="35">
        <f t="shared" si="21"/>
        <v>135.65956858961283</v>
      </c>
      <c r="H65" s="35">
        <f t="shared" si="21"/>
        <v>150.92832290676947</v>
      </c>
      <c r="I65" s="35">
        <f t="shared" si="21"/>
        <v>167.96067971660301</v>
      </c>
      <c r="J65" s="35">
        <f t="shared" si="21"/>
        <v>186.96036533182209</v>
      </c>
      <c r="K65" s="35">
        <f t="shared" si="21"/>
        <v>208.15463995730855</v>
      </c>
      <c r="L65" s="35">
        <f t="shared" si="21"/>
        <v>231.79701625933222</v>
      </c>
      <c r="M65" s="35">
        <f t="shared" si="21"/>
        <v>258.17029197625669</v>
      </c>
      <c r="N65" s="35">
        <f t="shared" si="21"/>
        <v>287.58993284792712</v>
      </c>
    </row>
    <row r="66" spans="2:14" x14ac:dyDescent="0.25">
      <c r="B66" s="35"/>
      <c r="C66" s="35">
        <f t="shared" ref="C66:N66" si="22">C21+dividendo1*EXP(tipo*Deltat*(-Tiempo1+C$63))+dividendo2*EXP(tipo*Deltat*(-Tiempo2+C$63))</f>
        <v>71.239898542878336</v>
      </c>
      <c r="D66" s="35">
        <f t="shared" si="22"/>
        <v>79.0678769764869</v>
      </c>
      <c r="E66" s="35">
        <f t="shared" si="22"/>
        <v>87.799920744880083</v>
      </c>
      <c r="F66" s="35">
        <f t="shared" si="22"/>
        <v>97.540464839355778</v>
      </c>
      <c r="G66" s="35">
        <f t="shared" si="22"/>
        <v>108.40600828843243</v>
      </c>
      <c r="H66" s="35">
        <f t="shared" si="22"/>
        <v>120.52650776159111</v>
      </c>
      <c r="I66" s="35">
        <f t="shared" si="22"/>
        <v>134.04693215821285</v>
      </c>
      <c r="J66" s="35">
        <f t="shared" si="22"/>
        <v>149.12899677826965</v>
      </c>
      <c r="K66" s="35">
        <f t="shared" si="22"/>
        <v>165.95309781954978</v>
      </c>
      <c r="L66" s="35">
        <f t="shared" si="22"/>
        <v>184.72047034257625</v>
      </c>
      <c r="M66" s="35">
        <f t="shared" si="22"/>
        <v>205.65559551758051</v>
      </c>
      <c r="N66" s="35">
        <f t="shared" si="22"/>
        <v>229.00888594989388</v>
      </c>
    </row>
    <row r="67" spans="2:14" x14ac:dyDescent="0.25">
      <c r="B67" s="35"/>
      <c r="C67" s="35"/>
      <c r="D67" s="35">
        <f t="shared" ref="D67:N67" si="23">D22+dividendo1*EXP(tipo*Deltat*(-Tiempo1+D$63))+dividendo2*EXP(tipo*Deltat*(-Tiempo2+D$63))</f>
        <v>63.483177820755934</v>
      </c>
      <c r="E67" s="35">
        <f t="shared" si="23"/>
        <v>70.414920855334316</v>
      </c>
      <c r="F67" s="35">
        <f t="shared" si="23"/>
        <v>78.147198524788251</v>
      </c>
      <c r="G67" s="35">
        <f t="shared" si="23"/>
        <v>86.772486244299373</v>
      </c>
      <c r="H67" s="35">
        <f t="shared" si="23"/>
        <v>96.393941929581686</v>
      </c>
      <c r="I67" s="35">
        <f t="shared" si="23"/>
        <v>107.12664000938044</v>
      </c>
      <c r="J67" s="35">
        <f t="shared" si="23"/>
        <v>119.09894798763325</v>
      </c>
      <c r="K67" s="35">
        <f t="shared" si="23"/>
        <v>132.45406202223148</v>
      </c>
      <c r="L67" s="35">
        <f t="shared" si="23"/>
        <v>147.3517198895328</v>
      </c>
      <c r="M67" s="35">
        <f t="shared" si="23"/>
        <v>163.97011182572973</v>
      </c>
      <c r="N67" s="35">
        <f t="shared" si="23"/>
        <v>182.50801210325361</v>
      </c>
    </row>
    <row r="68" spans="2:14" x14ac:dyDescent="0.25">
      <c r="B68" s="35"/>
      <c r="C68" s="35"/>
      <c r="D68" s="35"/>
      <c r="E68" s="35">
        <f t="shared" ref="E68:N68" si="24">E23+dividendo1*EXP(tipo*Deltat*(-Tiempo1+E$63))+dividendo2*EXP(tipo*Deltat*(-Tiempo2+E$63))</f>
        <v>56.614933837438194</v>
      </c>
      <c r="F68" s="35">
        <f t="shared" si="24"/>
        <v>62.75307571340025</v>
      </c>
      <c r="G68" s="35">
        <f t="shared" si="24"/>
        <v>69.600077543858092</v>
      </c>
      <c r="H68" s="35">
        <f t="shared" si="24"/>
        <v>77.237824741998836</v>
      </c>
      <c r="I68" s="35">
        <f t="shared" si="24"/>
        <v>85.757661894214905</v>
      </c>
      <c r="J68" s="35">
        <f t="shared" si="24"/>
        <v>95.261485457261145</v>
      </c>
      <c r="K68" s="35">
        <f t="shared" si="24"/>
        <v>105.8629626807227</v>
      </c>
      <c r="L68" s="35">
        <f t="shared" si="24"/>
        <v>117.68889133598745</v>
      </c>
      <c r="M68" s="35">
        <f t="shared" si="24"/>
        <v>130.88071651729572</v>
      </c>
      <c r="N68" s="35">
        <f t="shared" si="24"/>
        <v>145.59622265939245</v>
      </c>
    </row>
    <row r="69" spans="2:14" x14ac:dyDescent="0.25">
      <c r="B69" s="35"/>
      <c r="C69" s="35"/>
      <c r="D69" s="35"/>
      <c r="E69" s="35"/>
      <c r="F69" s="35">
        <f t="shared" ref="F69:N69" si="25">F24+dividendo1*EXP(tipo*Deltat*(-Tiempo1+F$63))+dividendo2*EXP(tipo*Deltat*(-Tiempo2+F$63))</f>
        <v>50.533421051406251</v>
      </c>
      <c r="G69" s="35">
        <f t="shared" si="25"/>
        <v>55.968842649539774</v>
      </c>
      <c r="H69" s="35">
        <f t="shared" si="25"/>
        <v>62.031947826180932</v>
      </c>
      <c r="I69" s="35">
        <f t="shared" si="25"/>
        <v>68.795244727199574</v>
      </c>
      <c r="J69" s="35">
        <f t="shared" si="25"/>
        <v>76.339617436052009</v>
      </c>
      <c r="K69" s="35">
        <f t="shared" si="25"/>
        <v>84.755293538597925</v>
      </c>
      <c r="L69" s="35">
        <f t="shared" si="25"/>
        <v>94.142923458290809</v>
      </c>
      <c r="M69" s="35">
        <f t="shared" si="25"/>
        <v>104.61478447314232</v>
      </c>
      <c r="N69" s="35">
        <f t="shared" si="25"/>
        <v>116.29612381734938</v>
      </c>
    </row>
    <row r="70" spans="2:14" x14ac:dyDescent="0.25">
      <c r="B70" s="36" t="s">
        <v>30</v>
      </c>
      <c r="C70" s="35"/>
      <c r="D70" s="35"/>
      <c r="E70" s="35"/>
      <c r="F70" s="35"/>
      <c r="G70" s="35">
        <f t="shared" ref="G70:N70" si="26">G25+dividendo1*EXP(tipo*Deltat*(-Tiempo1+G$63))+dividendo2*EXP(tipo*Deltat*(-Tiempo2+G$63))</f>
        <v>45.148545509785208</v>
      </c>
      <c r="H70" s="35">
        <f t="shared" si="26"/>
        <v>49.961720310091131</v>
      </c>
      <c r="I70" s="35">
        <f t="shared" si="26"/>
        <v>55.330698383560417</v>
      </c>
      <c r="J70" s="35">
        <f t="shared" si="26"/>
        <v>61.319684464752314</v>
      </c>
      <c r="K70" s="35">
        <f t="shared" si="26"/>
        <v>68.000300039027692</v>
      </c>
      <c r="L70" s="35">
        <f t="shared" si="26"/>
        <v>75.452440104798924</v>
      </c>
      <c r="M70" s="35">
        <f t="shared" si="26"/>
        <v>83.765228906551556</v>
      </c>
      <c r="N70" s="35">
        <f t="shared" si="26"/>
        <v>93.038086071463979</v>
      </c>
    </row>
    <row r="71" spans="2:14" x14ac:dyDescent="0.25">
      <c r="B71" s="35">
        <f>SUMPRODUCT(N65:N77,P20:P32)*Descuento^12</f>
        <v>79.999999999999886</v>
      </c>
      <c r="C71" s="35"/>
      <c r="D71" s="35"/>
      <c r="E71" s="35"/>
      <c r="F71" s="35"/>
      <c r="G71" s="35"/>
      <c r="H71" s="35">
        <f t="shared" ref="H71:N71" si="27">H26+dividendo1*EXP(tipo*Deltat*(-Tiempo1+H$63))+dividendo2*EXP(tipo*Deltat*(-Tiempo2+H$63))</f>
        <v>40.380530544006859</v>
      </c>
      <c r="I71" s="35">
        <f t="shared" si="27"/>
        <v>44.642716449443995</v>
      </c>
      <c r="J71" s="35">
        <f t="shared" si="27"/>
        <v>49.397056835732407</v>
      </c>
      <c r="K71" s="35">
        <f t="shared" si="27"/>
        <v>54.700403907418071</v>
      </c>
      <c r="L71" s="35">
        <f t="shared" si="27"/>
        <v>60.616177276204183</v>
      </c>
      <c r="M71" s="35">
        <f t="shared" si="27"/>
        <v>67.21512260940537</v>
      </c>
      <c r="N71" s="35">
        <f t="shared" si="27"/>
        <v>74.576157915343501</v>
      </c>
    </row>
    <row r="72" spans="2:14" x14ac:dyDescent="0.25">
      <c r="B72" s="35"/>
      <c r="C72" s="35"/>
      <c r="D72" s="35"/>
      <c r="E72" s="35"/>
      <c r="F72" s="35"/>
      <c r="G72" s="35"/>
      <c r="H72" s="35"/>
      <c r="I72" s="35">
        <f t="shared" ref="I72:N72" si="28">I27+dividendo1*EXP(tipo*Deltat*(-Tiempo1+I$63))+dividendo2*EXP(tipo*Deltat*(-Tiempo2+I$63))</f>
        <v>36.158735265929089</v>
      </c>
      <c r="J72" s="35">
        <f t="shared" si="28"/>
        <v>39.933029942144472</v>
      </c>
      <c r="K72" s="35">
        <f t="shared" si="28"/>
        <v>44.143119172205132</v>
      </c>
      <c r="L72" s="35">
        <f t="shared" si="28"/>
        <v>48.839344619919821</v>
      </c>
      <c r="M72" s="35">
        <f t="shared" si="28"/>
        <v>54.077863276849477</v>
      </c>
      <c r="N72" s="35">
        <f t="shared" si="28"/>
        <v>59.921319232658263</v>
      </c>
    </row>
    <row r="73" spans="2:14" x14ac:dyDescent="0.25">
      <c r="B73" s="35"/>
      <c r="C73" s="35"/>
      <c r="D73" s="35"/>
      <c r="E73" s="35"/>
      <c r="F73" s="35"/>
      <c r="G73" s="35"/>
      <c r="H73" s="35"/>
      <c r="I73" s="35"/>
      <c r="J73" s="35">
        <f>J28+dividendo1*EXP(tipo*Deltat*(-Tiempo1+J$63))+dividendo2*EXP(tipo*Deltat*(-Tiempo2+J$63))</f>
        <v>32.420608366170235</v>
      </c>
      <c r="K73" s="35">
        <f>K28+dividendo1*EXP(tipo*Deltat*(-Tiempo1+K$63))+dividendo2*EXP(tipo*Deltat*(-Tiempo2+K$63))</f>
        <v>35.7628837269475</v>
      </c>
      <c r="L73" s="35">
        <f>L28+dividendo1*EXP(tipo*Deltat*(-Tiempo1+L$63))+dividendo2*EXP(tipo*Deltat*(-Tiempo2+L$63))</f>
        <v>39.491047881281986</v>
      </c>
      <c r="M73" s="35">
        <f>M28+dividendo1*EXP(tipo*Deltat*(-Tiempo1+M$63))+dividendo2*EXP(tipo*Deltat*(-Tiempo2+M$63))</f>
        <v>43.649677519481436</v>
      </c>
      <c r="N73" s="35">
        <f>N28+dividendo1*EXP(tipo*Deltat*(-Tiempo1+N$63))+dividendo2*EXP(tipo*Deltat*(-Tiempo2+N$63))</f>
        <v>48.288498706036876</v>
      </c>
    </row>
    <row r="74" spans="2:14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5">
        <f>K29+dividendo1*EXP(tipo*Deltat*(-Tiempo1+K$63))+dividendo2*EXP(tipo*Deltat*(-Tiempo2+K$63))</f>
        <v>29.110761720262243</v>
      </c>
      <c r="L74" s="35">
        <f>L29+dividendo1*EXP(tipo*Deltat*(-Tiempo1+L$63))+dividendo2*EXP(tipo*Deltat*(-Tiempo2+L$63))</f>
        <v>32.070491398551205</v>
      </c>
      <c r="M74" s="35">
        <f>M29+dividendo1*EXP(tipo*Deltat*(-Tiempo1+M$63))+dividendo2*EXP(tipo*Deltat*(-Tiempo2+M$63))</f>
        <v>35.371919165371452</v>
      </c>
      <c r="N74" s="35">
        <f>N29+dividendo1*EXP(tipo*Deltat*(-Tiempo1+N$63))+dividendo2*EXP(tipo*Deltat*(-Tiempo2+N$63))</f>
        <v>39.05451692468381</v>
      </c>
    </row>
    <row r="75" spans="2:14" x14ac:dyDescent="0.2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>
        <f>L30+dividendo1*EXP(tipo*Deltat*(-Tiempo1+L$63))+dividendo2*EXP(tipo*Deltat*(-Tiempo2+L$63))</f>
        <v>26.180150082597059</v>
      </c>
      <c r="M75" s="35">
        <f>M30+dividendo1*EXP(tipo*Deltat*(-Tiempo1+M$63))+dividendo2*EXP(tipo*Deltat*(-Tiempo2+M$63))</f>
        <v>28.801142142088786</v>
      </c>
      <c r="N75" s="35">
        <f>N30+dividendo1*EXP(tipo*Deltat*(-Tiempo1+N$63))+dividendo2*EXP(tipo*Deltat*(-Tiempo2+N$63))</f>
        <v>31.724702169678274</v>
      </c>
    </row>
    <row r="76" spans="2:14" x14ac:dyDescent="0.25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>
        <f>M31+dividendo1*EXP(tipo*Deltat*(-Tiempo1+M$63))+dividendo2*EXP(tipo*Deltat*(-Tiempo2+M$63))</f>
        <v>23.585344719316407</v>
      </c>
      <c r="N76" s="35">
        <f>N31+dividendo1*EXP(tipo*Deltat*(-Tiempo1+N$63))+dividendo2*EXP(tipo*Deltat*(-Tiempo2+N$63))</f>
        <v>25.90639045812711</v>
      </c>
    </row>
    <row r="77" spans="2:14" x14ac:dyDescent="0.25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>
        <f>N32+dividendo1*EXP(tipo*Deltat*(-Tiempo1+N$63))+dividendo2*EXP(tipo*Deltat*(-Tiempo2+N$63))</f>
        <v>21.287890222544029</v>
      </c>
    </row>
    <row r="79" spans="2:14" ht="15.75" thickBot="1" x14ac:dyDescent="0.3"/>
    <row r="80" spans="2:14" ht="15.75" thickBot="1" x14ac:dyDescent="0.3">
      <c r="B80" s="20">
        <v>0</v>
      </c>
      <c r="C80" s="21">
        <v>1</v>
      </c>
      <c r="D80" s="21">
        <v>2</v>
      </c>
      <c r="E80" s="21">
        <v>3</v>
      </c>
      <c r="F80" s="21">
        <v>4</v>
      </c>
      <c r="G80" s="21">
        <v>5</v>
      </c>
      <c r="H80" s="21">
        <v>6</v>
      </c>
      <c r="I80" s="21">
        <v>7</v>
      </c>
      <c r="J80" s="21">
        <v>8</v>
      </c>
      <c r="K80" s="21">
        <v>9</v>
      </c>
      <c r="L80" s="21">
        <v>10</v>
      </c>
      <c r="M80" s="21">
        <v>11</v>
      </c>
      <c r="N80" s="22">
        <v>12</v>
      </c>
    </row>
    <row r="81" spans="1:14" x14ac:dyDescent="0.25">
      <c r="C81" s="17">
        <f t="shared" ref="C81:N81" ca="1" si="29">IF(RAND()&lt;p,0,1)</f>
        <v>0</v>
      </c>
      <c r="D81" s="17">
        <f t="shared" ca="1" si="29"/>
        <v>0</v>
      </c>
      <c r="E81" s="17">
        <f t="shared" ca="1" si="29"/>
        <v>1</v>
      </c>
      <c r="F81" s="17">
        <f t="shared" ca="1" si="29"/>
        <v>1</v>
      </c>
      <c r="G81" s="17">
        <f t="shared" ca="1" si="29"/>
        <v>1</v>
      </c>
      <c r="H81" s="17">
        <f t="shared" ca="1" si="29"/>
        <v>1</v>
      </c>
      <c r="I81" s="17">
        <f t="shared" ca="1" si="29"/>
        <v>1</v>
      </c>
      <c r="J81" s="17">
        <f t="shared" ca="1" si="29"/>
        <v>1</v>
      </c>
      <c r="K81" s="17">
        <f t="shared" ca="1" si="29"/>
        <v>0</v>
      </c>
      <c r="L81" s="17">
        <f t="shared" ca="1" si="29"/>
        <v>0</v>
      </c>
      <c r="M81" s="17">
        <f t="shared" ca="1" si="29"/>
        <v>0</v>
      </c>
      <c r="N81" s="17">
        <f t="shared" ca="1" si="29"/>
        <v>1</v>
      </c>
    </row>
    <row r="82" spans="1:14" x14ac:dyDescent="0.25">
      <c r="C82" s="17" t="str">
        <f ca="1">IF(C81=0,"sube","baja")</f>
        <v>sube</v>
      </c>
      <c r="D82" s="17" t="str">
        <f t="shared" ref="D82:N82" ca="1" si="30">IF(D81=0,"sube","baja")</f>
        <v>sube</v>
      </c>
      <c r="E82" s="17" t="str">
        <f t="shared" ca="1" si="30"/>
        <v>baja</v>
      </c>
      <c r="F82" s="17" t="str">
        <f t="shared" ca="1" si="30"/>
        <v>baja</v>
      </c>
      <c r="G82" s="17" t="str">
        <f t="shared" ca="1" si="30"/>
        <v>baja</v>
      </c>
      <c r="H82" s="17" t="str">
        <f t="shared" ca="1" si="30"/>
        <v>baja</v>
      </c>
      <c r="I82" s="17" t="str">
        <f t="shared" ca="1" si="30"/>
        <v>baja</v>
      </c>
      <c r="J82" s="17" t="str">
        <f t="shared" ca="1" si="30"/>
        <v>baja</v>
      </c>
      <c r="K82" s="17" t="str">
        <f t="shared" ca="1" si="30"/>
        <v>sube</v>
      </c>
      <c r="L82" s="17" t="str">
        <f t="shared" ca="1" si="30"/>
        <v>sube</v>
      </c>
      <c r="M82" s="17" t="str">
        <f t="shared" ca="1" si="30"/>
        <v>sube</v>
      </c>
      <c r="N82" s="17" t="str">
        <f t="shared" ca="1" si="30"/>
        <v>baja</v>
      </c>
    </row>
    <row r="83" spans="1:14" x14ac:dyDescent="0.25">
      <c r="C83" s="17">
        <f ca="1">SUM($C$81:C81)</f>
        <v>0</v>
      </c>
      <c r="D83" s="17">
        <f ca="1">SUM($C$81:D81)</f>
        <v>0</v>
      </c>
      <c r="E83" s="17">
        <f ca="1">SUM($C$81:E81)</f>
        <v>1</v>
      </c>
      <c r="F83" s="17">
        <f ca="1">SUM($C$81:F81)</f>
        <v>2</v>
      </c>
      <c r="G83" s="17">
        <f ca="1">SUM($C$81:G81)</f>
        <v>3</v>
      </c>
      <c r="H83" s="17">
        <f ca="1">SUM($C$81:H81)</f>
        <v>4</v>
      </c>
      <c r="I83" s="17">
        <f ca="1">SUM($C$81:I81)</f>
        <v>5</v>
      </c>
      <c r="J83" s="17">
        <f ca="1">SUM($C$81:J81)</f>
        <v>6</v>
      </c>
      <c r="K83" s="17">
        <f ca="1">SUM($C$81:K81)</f>
        <v>6</v>
      </c>
      <c r="L83" s="17">
        <f ca="1">SUM($C$81:L81)</f>
        <v>6</v>
      </c>
      <c r="M83" s="17">
        <f ca="1">SUM($C$81:M81)</f>
        <v>6</v>
      </c>
      <c r="N83" s="17">
        <f ca="1">SUM($C$81:N81)</f>
        <v>7</v>
      </c>
    </row>
    <row r="84" spans="1:14" x14ac:dyDescent="0.25">
      <c r="A84" s="2" t="s">
        <v>33</v>
      </c>
      <c r="B84" s="35">
        <f>B20</f>
        <v>76.511351301794704</v>
      </c>
      <c r="C84" s="35">
        <f ca="1">OFFSET(C20,C83,0)</f>
        <v>85.349728001747224</v>
      </c>
      <c r="D84" s="35">
        <f t="shared" ref="D84:N84" ca="1" si="31">OFFSET(D20,D83,0)</f>
        <v>95.209089187807379</v>
      </c>
      <c r="E84" s="35">
        <f t="shared" ca="1" si="31"/>
        <v>84.306035146934605</v>
      </c>
      <c r="F84" s="35">
        <f t="shared" ca="1" si="31"/>
        <v>74.651565547235293</v>
      </c>
      <c r="G84" s="35">
        <f t="shared" ca="1" si="31"/>
        <v>66.102696312789391</v>
      </c>
      <c r="H84" s="35">
        <f t="shared" ca="1" si="31"/>
        <v>58.532817467251178</v>
      </c>
      <c r="I84" s="35">
        <f t="shared" ca="1" si="31"/>
        <v>51.829818021986995</v>
      </c>
      <c r="J84" s="35">
        <f t="shared" ca="1" si="31"/>
        <v>45.894425596295207</v>
      </c>
      <c r="K84" s="35">
        <f t="shared" ca="1" si="31"/>
        <v>51.196020914459275</v>
      </c>
      <c r="L84" s="47">
        <f t="shared" ca="1" si="31"/>
        <v>57.110041653628009</v>
      </c>
      <c r="M84" s="47">
        <f t="shared" ca="1" si="31"/>
        <v>63.7072334806779</v>
      </c>
      <c r="N84" s="47">
        <f t="shared" ca="1" si="31"/>
        <v>56.411675720807196</v>
      </c>
    </row>
    <row r="85" spans="1:14" x14ac:dyDescent="0.25">
      <c r="A85" s="2" t="s">
        <v>34</v>
      </c>
      <c r="B85" s="47">
        <f>B47</f>
        <v>80</v>
      </c>
      <c r="C85" s="47">
        <f ca="1">OFFSET(C47,C83,0)</f>
        <v>88.840121460455393</v>
      </c>
      <c r="D85" s="47">
        <f t="shared" ref="D85:N85" ca="1" si="32">OFFSET(D47,D83,0)</f>
        <v>98.701228279616814</v>
      </c>
      <c r="E85" s="46">
        <f t="shared" ca="1" si="32"/>
        <v>86.299545698001182</v>
      </c>
      <c r="F85" s="46">
        <f t="shared" ca="1" si="32"/>
        <v>76.646073102807762</v>
      </c>
      <c r="G85" s="46">
        <f t="shared" ca="1" si="32"/>
        <v>68.098201371494653</v>
      </c>
      <c r="H85" s="46">
        <f t="shared" ca="1" si="32"/>
        <v>60.529320527965503</v>
      </c>
      <c r="I85" s="46">
        <f t="shared" ca="1" si="32"/>
        <v>53.827319583836157</v>
      </c>
      <c r="J85" s="46">
        <f t="shared" ca="1" si="32"/>
        <v>47.89292615865461</v>
      </c>
      <c r="K85" s="46">
        <f t="shared" ca="1" si="32"/>
        <v>53.195520976954064</v>
      </c>
      <c r="L85" s="47">
        <f t="shared" ca="1" si="32"/>
        <v>57.110041653628009</v>
      </c>
      <c r="M85" s="47">
        <f t="shared" ca="1" si="32"/>
        <v>63.7072334806779</v>
      </c>
      <c r="N85" s="47">
        <f t="shared" ca="1" si="32"/>
        <v>56.411675720807196</v>
      </c>
    </row>
    <row r="86" spans="1:14" x14ac:dyDescent="0.25">
      <c r="A86" s="2" t="s">
        <v>35</v>
      </c>
      <c r="B86" s="47">
        <f>B65</f>
        <v>80</v>
      </c>
      <c r="C86" s="47">
        <f ca="1">OFFSET(C65,C83,0)</f>
        <v>88.840121460455407</v>
      </c>
      <c r="D86" s="47">
        <f t="shared" ref="D86:N86" ca="1" si="33">OFFSET(D65,D83,0)</f>
        <v>98.701228279616814</v>
      </c>
      <c r="E86" s="35">
        <f t="shared" ca="1" si="33"/>
        <v>87.799920744880083</v>
      </c>
      <c r="F86" s="35">
        <f t="shared" ca="1" si="33"/>
        <v>78.147198524788251</v>
      </c>
      <c r="G86" s="35">
        <f t="shared" ca="1" si="33"/>
        <v>69.600077543858092</v>
      </c>
      <c r="H86" s="35">
        <f t="shared" ca="1" si="33"/>
        <v>62.031947826180932</v>
      </c>
      <c r="I86" s="35">
        <f t="shared" ca="1" si="33"/>
        <v>55.330698383560417</v>
      </c>
      <c r="J86" s="35">
        <f t="shared" ca="1" si="33"/>
        <v>49.397056835732407</v>
      </c>
      <c r="K86" s="35">
        <f t="shared" ca="1" si="33"/>
        <v>54.700403907418071</v>
      </c>
      <c r="L86" s="35">
        <f t="shared" ca="1" si="33"/>
        <v>60.616177276204183</v>
      </c>
      <c r="M86" s="35">
        <f t="shared" ca="1" si="33"/>
        <v>67.21512260940537</v>
      </c>
      <c r="N86" s="35">
        <f t="shared" ca="1" si="33"/>
        <v>59.921319232658263</v>
      </c>
    </row>
    <row r="87" spans="1:14" x14ac:dyDescent="0.25">
      <c r="A87" s="2" t="s">
        <v>6</v>
      </c>
      <c r="B87" s="35">
        <f>B40</f>
        <v>3.4886486982052949</v>
      </c>
      <c r="C87" s="35">
        <f t="shared" ref="C87:N87" si="34">C40</f>
        <v>3.4903934587081742</v>
      </c>
      <c r="D87" s="35">
        <f t="shared" si="34"/>
        <v>3.4921390918094364</v>
      </c>
      <c r="E87" s="35">
        <f t="shared" si="34"/>
        <v>1.9935105510665829</v>
      </c>
      <c r="F87" s="35">
        <f t="shared" si="34"/>
        <v>1.9945075555724716</v>
      </c>
      <c r="G87" s="35">
        <f t="shared" si="34"/>
        <v>1.9955050587052598</v>
      </c>
      <c r="H87" s="35">
        <f t="shared" si="34"/>
        <v>1.996503060714323</v>
      </c>
      <c r="I87" s="35">
        <f t="shared" si="34"/>
        <v>1.9975015618491618</v>
      </c>
      <c r="J87" s="35">
        <f t="shared" si="34"/>
        <v>1.9985005623594014</v>
      </c>
      <c r="K87" s="35">
        <f t="shared" si="34"/>
        <v>1.9995000624947921</v>
      </c>
      <c r="L87" s="35">
        <f t="shared" si="34"/>
        <v>0</v>
      </c>
      <c r="M87" s="35">
        <f t="shared" si="34"/>
        <v>0</v>
      </c>
      <c r="N87" s="35">
        <f t="shared" si="34"/>
        <v>0</v>
      </c>
    </row>
    <row r="91" spans="1:14" x14ac:dyDescent="0.25">
      <c r="B91" s="1" t="s">
        <v>19</v>
      </c>
    </row>
    <row r="92" spans="1:14" x14ac:dyDescent="0.25">
      <c r="B92" s="29" t="s">
        <v>21</v>
      </c>
      <c r="C92" s="2">
        <v>1</v>
      </c>
    </row>
    <row r="93" spans="1:14" x14ac:dyDescent="0.25">
      <c r="B93" s="29" t="s">
        <v>22</v>
      </c>
      <c r="C93" s="2">
        <v>84</v>
      </c>
    </row>
    <row r="95" spans="1:14" ht="15.75" thickBot="1" x14ac:dyDescent="0.3">
      <c r="B95" s="30" t="s">
        <v>20</v>
      </c>
    </row>
    <row r="96" spans="1:14" ht="15.75" thickBot="1" x14ac:dyDescent="0.3">
      <c r="B96" s="20">
        <v>0</v>
      </c>
      <c r="C96" s="21">
        <v>1</v>
      </c>
      <c r="D96" s="21">
        <v>2</v>
      </c>
      <c r="E96" s="21">
        <v>3</v>
      </c>
      <c r="F96" s="21">
        <v>4</v>
      </c>
      <c r="G96" s="21">
        <v>5</v>
      </c>
      <c r="H96" s="21">
        <v>6</v>
      </c>
      <c r="I96" s="21">
        <v>7</v>
      </c>
      <c r="J96" s="21">
        <v>8</v>
      </c>
      <c r="K96" s="21">
        <v>9</v>
      </c>
      <c r="L96" s="21">
        <v>10</v>
      </c>
      <c r="M96" s="21">
        <v>11</v>
      </c>
      <c r="N96" s="22">
        <v>12</v>
      </c>
    </row>
    <row r="97" spans="2:14" ht="15.75" thickBot="1" x14ac:dyDescent="0.3">
      <c r="B97" s="38">
        <f t="shared" ref="B97:L97" si="35">MAX(MAX(strike-B47,0),Descuento*(p*C97+(1-p)*C98))</f>
        <v>16.626816448001559</v>
      </c>
      <c r="C97" s="35">
        <f t="shared" si="35"/>
        <v>12.113594174885355</v>
      </c>
      <c r="D97" s="35">
        <f t="shared" si="35"/>
        <v>8.1127157090182376</v>
      </c>
      <c r="E97" s="35">
        <f t="shared" si="35"/>
        <v>4.8326798727697966</v>
      </c>
      <c r="F97" s="35">
        <f t="shared" si="35"/>
        <v>2.4235116558853953</v>
      </c>
      <c r="G97" s="35">
        <f t="shared" si="35"/>
        <v>0.92026362519535121</v>
      </c>
      <c r="H97" s="35">
        <f t="shared" si="35"/>
        <v>0.20148036378509618</v>
      </c>
      <c r="I97" s="35">
        <f t="shared" si="35"/>
        <v>0</v>
      </c>
      <c r="J97" s="35">
        <f t="shared" si="35"/>
        <v>0</v>
      </c>
      <c r="K97" s="35">
        <f t="shared" si="35"/>
        <v>0</v>
      </c>
      <c r="L97" s="35">
        <f t="shared" si="35"/>
        <v>0</v>
      </c>
      <c r="M97" s="35">
        <f>MAX(MAX(strike-M47,0),Descuento*(p*N97+(1-p)*N98))</f>
        <v>0</v>
      </c>
      <c r="N97" s="39">
        <f t="shared" ref="N97:N109" si="36">MAX(strike-N47,0)</f>
        <v>0</v>
      </c>
    </row>
    <row r="98" spans="2:14" ht="15.75" thickBot="1" x14ac:dyDescent="0.3">
      <c r="B98" s="35"/>
      <c r="C98" s="40">
        <f t="shared" ref="C98:M98" si="37">MAX(MAX(strike-C48,0),Descuento*(p*D98+(1-p)*D99))</f>
        <v>21.156669694962744</v>
      </c>
      <c r="D98" s="35">
        <f t="shared" si="37"/>
        <v>16.126589263830695</v>
      </c>
      <c r="E98" s="35">
        <f t="shared" si="37"/>
        <v>11.400866289492694</v>
      </c>
      <c r="F98" s="35">
        <f t="shared" si="37"/>
        <v>7.2466819778983238</v>
      </c>
      <c r="G98" s="35">
        <f t="shared" si="37"/>
        <v>3.9291838042102309</v>
      </c>
      <c r="H98" s="35">
        <f t="shared" si="37"/>
        <v>1.639967380335057</v>
      </c>
      <c r="I98" s="35">
        <f t="shared" si="37"/>
        <v>0.40316225831246444</v>
      </c>
      <c r="J98" s="35">
        <f t="shared" si="37"/>
        <v>0</v>
      </c>
      <c r="K98" s="35">
        <f t="shared" si="37"/>
        <v>0</v>
      </c>
      <c r="L98" s="35">
        <f t="shared" si="37"/>
        <v>0</v>
      </c>
      <c r="M98" s="35">
        <f t="shared" si="37"/>
        <v>0</v>
      </c>
      <c r="N98" s="39">
        <f t="shared" si="36"/>
        <v>0</v>
      </c>
    </row>
    <row r="99" spans="2:14" ht="15.75" thickBot="1" x14ac:dyDescent="0.3">
      <c r="B99" s="35"/>
      <c r="C99" s="35"/>
      <c r="D99" s="40">
        <f t="shared" ref="D99:M99" si="38">MAX(MAX(strike-D49,0),Descuento*(p*E99+(1-p)*E100))</f>
        <v>26.207912085838817</v>
      </c>
      <c r="E99" s="35">
        <f t="shared" si="38"/>
        <v>20.868442859751873</v>
      </c>
      <c r="F99" s="35">
        <f t="shared" si="38"/>
        <v>15.566454318068224</v>
      </c>
      <c r="G99" s="35">
        <f t="shared" si="38"/>
        <v>10.571428645536791</v>
      </c>
      <c r="H99" s="35">
        <f t="shared" si="38"/>
        <v>6.222330394349302</v>
      </c>
      <c r="I99" s="35">
        <f t="shared" si="38"/>
        <v>2.8784128797981703</v>
      </c>
      <c r="J99" s="35">
        <f t="shared" si="38"/>
        <v>0.80672777969060638</v>
      </c>
      <c r="K99" s="35">
        <f t="shared" si="38"/>
        <v>0</v>
      </c>
      <c r="L99" s="35">
        <f t="shared" si="38"/>
        <v>0</v>
      </c>
      <c r="M99" s="35">
        <f t="shared" si="38"/>
        <v>0</v>
      </c>
      <c r="N99" s="39">
        <f t="shared" si="36"/>
        <v>0</v>
      </c>
    </row>
    <row r="100" spans="2:14" ht="15.75" thickBot="1" x14ac:dyDescent="0.3">
      <c r="B100" s="35"/>
      <c r="C100" s="35"/>
      <c r="D100" s="35"/>
      <c r="E100" s="40">
        <f t="shared" ref="E100:M100" si="39">MAX(MAX(strike-E50,0),Descuento*(p*F100+(1-p)*F101))</f>
        <v>31.57359577708176</v>
      </c>
      <c r="F100" s="35">
        <f t="shared" si="39"/>
        <v>26.191305062275614</v>
      </c>
      <c r="G100" s="35">
        <f t="shared" si="39"/>
        <v>20.577050337179987</v>
      </c>
      <c r="H100" s="35">
        <f t="shared" si="39"/>
        <v>14.931100968667508</v>
      </c>
      <c r="I100" s="35">
        <f t="shared" si="39"/>
        <v>9.5724717951366785</v>
      </c>
      <c r="J100" s="35">
        <f t="shared" si="39"/>
        <v>4.9529771125087008</v>
      </c>
      <c r="K100" s="35">
        <f t="shared" si="39"/>
        <v>1.6142624888764661</v>
      </c>
      <c r="L100" s="35">
        <f t="shared" si="39"/>
        <v>0</v>
      </c>
      <c r="M100" s="35">
        <f t="shared" si="39"/>
        <v>0</v>
      </c>
      <c r="N100" s="39">
        <f t="shared" si="36"/>
        <v>0</v>
      </c>
    </row>
    <row r="101" spans="2:14" ht="15.75" thickBot="1" x14ac:dyDescent="0.3">
      <c r="B101" s="35"/>
      <c r="C101" s="35"/>
      <c r="D101" s="35"/>
      <c r="E101" s="35"/>
      <c r="F101" s="40">
        <f t="shared" ref="F101:M101" si="40">MAX(MAX(strike-F51,0),Descuento*(p*G101+(1-p)*G102))</f>
        <v>36.987467982379655</v>
      </c>
      <c r="G101" s="35">
        <f t="shared" si="40"/>
        <v>31.831757641351221</v>
      </c>
      <c r="H101" s="35">
        <f t="shared" si="40"/>
        <v>26.243581901149714</v>
      </c>
      <c r="I101" s="35">
        <f t="shared" si="40"/>
        <v>20.304664976564453</v>
      </c>
      <c r="J101" s="35">
        <f t="shared" si="40"/>
        <v>14.201541343076643</v>
      </c>
      <c r="K101" s="35">
        <f t="shared" si="40"/>
        <v>8.2966459517041216</v>
      </c>
      <c r="L101" s="35">
        <f t="shared" si="40"/>
        <v>3.2301396438747001</v>
      </c>
      <c r="M101" s="35">
        <f t="shared" si="40"/>
        <v>0</v>
      </c>
      <c r="N101" s="39">
        <f t="shared" si="36"/>
        <v>0</v>
      </c>
    </row>
    <row r="102" spans="2:14" ht="15.75" thickBot="1" x14ac:dyDescent="0.3">
      <c r="B102" s="35"/>
      <c r="C102" s="35"/>
      <c r="D102" s="35"/>
      <c r="E102" s="35"/>
      <c r="F102" s="35"/>
      <c r="G102" s="40">
        <f t="shared" ref="G102:M102" si="41">MAX(MAX(strike-G52,0),Descuento*(p*H102+(1-p)*H103))</f>
        <v>42.180175039798804</v>
      </c>
      <c r="H102" s="35">
        <f t="shared" si="41"/>
        <v>37.451773098459981</v>
      </c>
      <c r="I102" s="35">
        <f t="shared" si="41"/>
        <v>32.208748969625219</v>
      </c>
      <c r="J102" s="35">
        <f t="shared" si="41"/>
        <v>26.4280983520412</v>
      </c>
      <c r="K102" s="35">
        <f t="shared" si="41"/>
        <v>20.120641826769383</v>
      </c>
      <c r="L102" s="35">
        <f t="shared" si="41"/>
        <v>13.371450979992471</v>
      </c>
      <c r="M102" s="35">
        <f t="shared" si="41"/>
        <v>6.4635102350627918</v>
      </c>
      <c r="N102" s="39">
        <f t="shared" si="36"/>
        <v>0</v>
      </c>
    </row>
    <row r="103" spans="2:14" ht="15.75" thickBot="1" x14ac:dyDescent="0.3">
      <c r="B103" s="35"/>
      <c r="C103" s="35"/>
      <c r="D103" s="35"/>
      <c r="E103" s="35"/>
      <c r="F103" s="35"/>
      <c r="G103" s="35"/>
      <c r="H103" s="40">
        <f t="shared" ref="H103:M103" si="42">MAX(MAX(strike-H53,0),Descuento*(p*I103+(1-p)*I104))</f>
        <v>46.950767702978908</v>
      </c>
      <c r="I103" s="35">
        <f t="shared" si="42"/>
        <v>42.732258364897163</v>
      </c>
      <c r="J103" s="35">
        <f t="shared" si="42"/>
        <v>38.021616389708299</v>
      </c>
      <c r="K103" s="35">
        <f t="shared" si="42"/>
        <v>32.76198958379095</v>
      </c>
      <c r="L103" s="35">
        <f t="shared" si="42"/>
        <v>26.889958346371991</v>
      </c>
      <c r="M103" s="35">
        <f t="shared" si="42"/>
        <v>20.2927665193221</v>
      </c>
      <c r="N103" s="39">
        <f t="shared" si="36"/>
        <v>12.933485596507552</v>
      </c>
    </row>
    <row r="104" spans="2:14" ht="15.75" thickBot="1" x14ac:dyDescent="0.3">
      <c r="B104" s="35"/>
      <c r="C104" s="35"/>
      <c r="D104" s="35"/>
      <c r="E104" s="35"/>
      <c r="F104" s="35"/>
      <c r="G104" s="35"/>
      <c r="H104" s="35"/>
      <c r="I104" s="40">
        <f>MAX(MAX(strike-I54,0),Descuento*(p*J104+(1-p)*J105))</f>
        <v>51.216239548412069</v>
      </c>
      <c r="J104" s="35">
        <f>MAX(MAX(strike-J54,0),Descuento*(p*K104+(1-p)*K105))</f>
        <v>47.485643283296234</v>
      </c>
      <c r="K104" s="35">
        <f>MAX(MAX(strike-K54,0),Descuento*(p*L104+(1-p)*L105))</f>
        <v>43.319274319003881</v>
      </c>
      <c r="L104" s="35">
        <f>MAX(MAX(strike-L54,0),Descuento*(p*M104+(1-p)*M105))</f>
        <v>38.666791002656353</v>
      </c>
      <c r="M104" s="35">
        <f>MAX(MAX(strike-M54,0),Descuento*(p*N104+(1-p)*N105))</f>
        <v>33.430025851877986</v>
      </c>
      <c r="N104" s="39">
        <f t="shared" si="36"/>
        <v>27.588324279192804</v>
      </c>
    </row>
    <row r="105" spans="2:14" ht="15.75" thickBot="1" x14ac:dyDescent="0.3">
      <c r="B105" s="35"/>
      <c r="C105" s="35"/>
      <c r="D105" s="35"/>
      <c r="E105" s="35"/>
      <c r="F105" s="35"/>
      <c r="G105" s="35"/>
      <c r="H105" s="35"/>
      <c r="I105" s="35"/>
      <c r="J105" s="40">
        <f>MAX(MAX(strike-J55,0),Descuento*(p*K105+(1-p)*K106))</f>
        <v>54.998064859270471</v>
      </c>
      <c r="K105" s="35">
        <f>MAX(MAX(strike-K55,0),Descuento*(p*L105+(1-p)*L106))</f>
        <v>51.699509764261521</v>
      </c>
      <c r="L105" s="35">
        <f>MAX(MAX(strike-L55,0),Descuento*(p*M105+(1-p)*M106))</f>
        <v>48.015087741294188</v>
      </c>
      <c r="M105" s="35">
        <f>MAX(MAX(strike-M55,0),Descuento*(p*N105+(1-p)*N106))</f>
        <v>43.858211609246027</v>
      </c>
      <c r="N105" s="39">
        <f t="shared" si="36"/>
        <v>39.221144805814184</v>
      </c>
    </row>
    <row r="106" spans="2:14" ht="15.75" thickBot="1" x14ac:dyDescent="0.3">
      <c r="B106" s="35"/>
      <c r="C106" s="35"/>
      <c r="D106" s="35"/>
      <c r="E106" s="35"/>
      <c r="F106" s="35"/>
      <c r="G106" s="35"/>
      <c r="H106" s="35"/>
      <c r="I106" s="35"/>
      <c r="J106" s="35"/>
      <c r="K106" s="40">
        <f>MAX(MAX(strike-K56,0),Descuento*(p*L106+(1-p)*L107))</f>
        <v>58.351631770946788</v>
      </c>
      <c r="L106" s="35">
        <f>MAX(MAX(strike-L56,0),Descuento*(p*M106+(1-p)*M107))</f>
        <v>55.435644224024969</v>
      </c>
      <c r="M106" s="35">
        <f>MAX(MAX(strike-M56,0),Descuento*(p*N106+(1-p)*N107))</f>
        <v>52.135969963356018</v>
      </c>
      <c r="N106" s="39">
        <f t="shared" si="36"/>
        <v>48.455126587167257</v>
      </c>
    </row>
    <row r="107" spans="2:14" ht="15.75" thickBot="1" x14ac:dyDescent="0.3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40">
        <f>MAX(MAX(strike-L57,0),Descuento*(p*M107+(1-p)*M108))</f>
        <v>61.325985539979115</v>
      </c>
      <c r="M107" s="35">
        <f>MAX(MAX(strike-M57,0),Descuento*(p*N107+(1-p)*N108))</f>
        <v>58.706746986638677</v>
      </c>
      <c r="N107" s="39">
        <f t="shared" si="36"/>
        <v>55.784941342172786</v>
      </c>
    </row>
    <row r="108" spans="2:14" ht="15.75" thickBot="1" x14ac:dyDescent="0.3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40">
        <f>MAX(MAX(strike-M58,0),Descuento*(p*N108+(1-p)*N109))</f>
        <v>63.92254440941106</v>
      </c>
      <c r="N108" s="39">
        <f t="shared" si="36"/>
        <v>61.603253053723947</v>
      </c>
    </row>
    <row r="109" spans="2:14" ht="15.75" thickBot="1" x14ac:dyDescent="0.3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1">
        <f t="shared" si="36"/>
        <v>66.221753289307031</v>
      </c>
    </row>
    <row r="111" spans="2:14" x14ac:dyDescent="0.25">
      <c r="B111" s="1" t="s">
        <v>23</v>
      </c>
    </row>
    <row r="112" spans="2:14" x14ac:dyDescent="0.25">
      <c r="B112" s="29" t="s">
        <v>21</v>
      </c>
      <c r="C112" s="2">
        <v>1</v>
      </c>
    </row>
    <row r="113" spans="2:14" x14ac:dyDescent="0.25">
      <c r="B113" s="29" t="s">
        <v>22</v>
      </c>
      <c r="C113" s="2">
        <f>strike</f>
        <v>84</v>
      </c>
    </row>
    <row r="115" spans="2:14" ht="15.75" thickBot="1" x14ac:dyDescent="0.3">
      <c r="B115" s="30" t="s">
        <v>20</v>
      </c>
    </row>
    <row r="116" spans="2:14" ht="15.75" thickBot="1" x14ac:dyDescent="0.3">
      <c r="B116" s="20">
        <v>0</v>
      </c>
      <c r="C116" s="21">
        <v>1</v>
      </c>
      <c r="D116" s="21">
        <v>2</v>
      </c>
      <c r="E116" s="21">
        <v>3</v>
      </c>
      <c r="F116" s="21">
        <v>4</v>
      </c>
      <c r="G116" s="21">
        <v>5</v>
      </c>
      <c r="H116" s="21">
        <v>6</v>
      </c>
      <c r="I116" s="21">
        <v>7</v>
      </c>
      <c r="J116" s="21">
        <v>8</v>
      </c>
      <c r="K116" s="21">
        <v>9</v>
      </c>
      <c r="L116" s="21">
        <v>10</v>
      </c>
      <c r="M116" s="21">
        <v>11</v>
      </c>
      <c r="N116" s="22">
        <v>12</v>
      </c>
    </row>
    <row r="117" spans="2:14" ht="15.75" thickBot="1" x14ac:dyDescent="0.3">
      <c r="B117" s="38">
        <f>Descuento*(p*C117+(1-p)*C118)</f>
        <v>9.6040300415024031</v>
      </c>
      <c r="C117" s="35">
        <f>Descuento*(p*D117+(1-p)*D118)</f>
        <v>13.897691343202018</v>
      </c>
      <c r="D117" s="35">
        <f>Descuento*(p*E117+(1-p)*E118)</f>
        <v>19.724098547733025</v>
      </c>
      <c r="E117" s="35">
        <f>Descuento*(p*F117+(1-p)*F118)</f>
        <v>27.408547028002523</v>
      </c>
      <c r="F117" s="35">
        <f>Descuento*(p*G117+(1-p)*G118)</f>
        <v>37.231725574429078</v>
      </c>
      <c r="G117" s="35">
        <f t="shared" ref="G117:G122" si="43">Descuento*(p*H117+(1-p)*H118)</f>
        <v>49.375282962808136</v>
      </c>
      <c r="H117" s="35">
        <f t="shared" ref="H117:H123" si="44">Descuento*(p*I117+(1-p)*I118)</f>
        <v>63.882295289341364</v>
      </c>
      <c r="I117" s="35">
        <f t="shared" ref="I117:I124" si="45">Descuento*(p*J117+(1-p)*J118)</f>
        <v>80.669537073642829</v>
      </c>
      <c r="J117" s="35">
        <f t="shared" ref="J117:J125" si="46">Descuento*(p*K117+(1-p)*K118)</f>
        <v>99.625566204328805</v>
      </c>
      <c r="K117" s="35">
        <f t="shared" ref="K117:K126" si="47">Descuento*(p*L117+(1-p)*L118)</f>
        <v>120.77616251158192</v>
      </c>
      <c r="L117" s="35">
        <f t="shared" ref="L117:L127" si="48">Descuento*(p*M117+(1-p)*M118)</f>
        <v>144.37483865075248</v>
      </c>
      <c r="M117" s="35">
        <f>Descuento*(p*N117+(1-p)*N118)</f>
        <v>170.70439234927895</v>
      </c>
      <c r="N117" s="39">
        <f t="shared" ref="N117:N129" si="49">MAX(N47-strike,0)</f>
        <v>200.08028933607602</v>
      </c>
    </row>
    <row r="118" spans="2:14" ht="15.75" thickBot="1" x14ac:dyDescent="0.3">
      <c r="B118" s="35"/>
      <c r="C118" s="40">
        <f>Descuento*(p*D118+(1-p)*D119)</f>
        <v>5.31997517125202</v>
      </c>
      <c r="D118" s="35">
        <f>Descuento*(p*E118+(1-p)*E119)</f>
        <v>8.0851853050161946</v>
      </c>
      <c r="E118" s="35">
        <f>Descuento*(p*F118+(1-p)*F119)</f>
        <v>12.059379097857839</v>
      </c>
      <c r="F118" s="35">
        <f>Descuento*(p*G118+(1-p)*G119)</f>
        <v>17.612783881882891</v>
      </c>
      <c r="G118" s="35">
        <f t="shared" si="43"/>
        <v>25.125409221107351</v>
      </c>
      <c r="H118" s="35">
        <f t="shared" si="44"/>
        <v>34.917658265116003</v>
      </c>
      <c r="I118" s="35">
        <f t="shared" si="45"/>
        <v>47.158951773565143</v>
      </c>
      <c r="J118" s="35">
        <f t="shared" si="46"/>
        <v>61.794197650776397</v>
      </c>
      <c r="K118" s="35">
        <f t="shared" si="47"/>
        <v>78.574620373823166</v>
      </c>
      <c r="L118" s="35">
        <f t="shared" si="48"/>
        <v>97.298292733996519</v>
      </c>
      <c r="M118" s="35">
        <f t="shared" ref="M118:M128" si="50">Descuento*(p*N118+(1-p)*N119)</f>
        <v>118.18969589060279</v>
      </c>
      <c r="N118" s="39">
        <f t="shared" si="49"/>
        <v>141.49924243804281</v>
      </c>
    </row>
    <row r="119" spans="2:14" ht="15.75" thickBot="1" x14ac:dyDescent="0.3">
      <c r="B119" s="35"/>
      <c r="C119" s="35"/>
      <c r="D119" s="40">
        <f>Descuento*(p*E119+(1-p)*E120)</f>
        <v>2.5600863428745839</v>
      </c>
      <c r="E119" s="35">
        <f>Descuento*(p*F119+(1-p)*F120)</f>
        <v>4.1190787191128182</v>
      </c>
      <c r="F119" s="35">
        <f>Descuento*(p*G119+(1-p)*G120)</f>
        <v>6.5180367082779584</v>
      </c>
      <c r="G119" s="35">
        <f t="shared" si="43"/>
        <v>10.117775730470241</v>
      </c>
      <c r="H119" s="35">
        <f t="shared" si="44"/>
        <v>15.358291868719133</v>
      </c>
      <c r="I119" s="35">
        <f t="shared" si="45"/>
        <v>22.711291145801631</v>
      </c>
      <c r="J119" s="35">
        <f t="shared" si="46"/>
        <v>32.570876639830608</v>
      </c>
      <c r="K119" s="35">
        <f t="shared" si="47"/>
        <v>45.075584576504895</v>
      </c>
      <c r="L119" s="35">
        <f t="shared" si="48"/>
        <v>59.929542280953065</v>
      </c>
      <c r="M119" s="35">
        <f t="shared" si="50"/>
        <v>76.504212198752029</v>
      </c>
      <c r="N119" s="39">
        <f t="shared" si="49"/>
        <v>94.998368591402539</v>
      </c>
    </row>
    <row r="120" spans="2:14" ht="15.75" thickBot="1" x14ac:dyDescent="0.3">
      <c r="B120" s="35"/>
      <c r="C120" s="35"/>
      <c r="D120" s="35"/>
      <c r="E120" s="40">
        <f>Descuento*(p*F120+(1-p)*F121)</f>
        <v>1.0036546931074928</v>
      </c>
      <c r="F120" s="35">
        <f>Descuento*(p*G120+(1-p)*G121)</f>
        <v>1.7242408386081201</v>
      </c>
      <c r="G120" s="35">
        <f t="shared" si="43"/>
        <v>2.924817352574749</v>
      </c>
      <c r="H120" s="35">
        <f t="shared" si="44"/>
        <v>4.8873798978173753</v>
      </c>
      <c r="I120" s="35">
        <f t="shared" si="45"/>
        <v>8.0206547237183319</v>
      </c>
      <c r="J120" s="35">
        <f t="shared" si="46"/>
        <v>12.874422621687664</v>
      </c>
      <c r="K120" s="35">
        <f t="shared" si="47"/>
        <v>20.098747723872609</v>
      </c>
      <c r="L120" s="35">
        <f t="shared" si="48"/>
        <v>30.266713727407758</v>
      </c>
      <c r="M120" s="35">
        <f t="shared" si="50"/>
        <v>43.414816890318001</v>
      </c>
      <c r="N120" s="39">
        <f t="shared" si="49"/>
        <v>58.086579147541386</v>
      </c>
    </row>
    <row r="121" spans="2:14" ht="15.75" thickBot="1" x14ac:dyDescent="0.3">
      <c r="B121" s="35"/>
      <c r="C121" s="35"/>
      <c r="D121" s="35"/>
      <c r="E121" s="35"/>
      <c r="F121" s="40">
        <f>Descuento*(p*G121+(1-p)*G122)</f>
        <v>0.2840724532554702</v>
      </c>
      <c r="G121" s="35">
        <f t="shared" si="43"/>
        <v>0.52538899661216132</v>
      </c>
      <c r="H121" s="35">
        <f t="shared" si="44"/>
        <v>0.96518035601091745</v>
      </c>
      <c r="I121" s="35">
        <f t="shared" si="45"/>
        <v>1.7589936738628775</v>
      </c>
      <c r="J121" s="35">
        <f t="shared" si="46"/>
        <v>3.1749094859706339</v>
      </c>
      <c r="K121" s="35">
        <f t="shared" si="47"/>
        <v>5.662975161266564</v>
      </c>
      <c r="L121" s="35">
        <f t="shared" si="48"/>
        <v>9.9508854935858171</v>
      </c>
      <c r="M121" s="35">
        <f t="shared" si="50"/>
        <v>17.148884846164627</v>
      </c>
      <c r="N121" s="39">
        <f t="shared" si="49"/>
        <v>28.78648030549833</v>
      </c>
    </row>
    <row r="122" spans="2:14" ht="15.75" thickBot="1" x14ac:dyDescent="0.3">
      <c r="B122" s="35"/>
      <c r="C122" s="35"/>
      <c r="D122" s="35"/>
      <c r="E122" s="35"/>
      <c r="F122" s="35"/>
      <c r="G122" s="40">
        <f t="shared" si="43"/>
        <v>4.3040053381985729E-2</v>
      </c>
      <c r="H122" s="35">
        <f t="shared" si="44"/>
        <v>8.612315757916035E-2</v>
      </c>
      <c r="I122" s="35">
        <f t="shared" si="45"/>
        <v>0.17233245985027817</v>
      </c>
      <c r="J122" s="35">
        <f t="shared" si="46"/>
        <v>0.344837295250703</v>
      </c>
      <c r="K122" s="35">
        <f t="shared" si="47"/>
        <v>0.69001951402035056</v>
      </c>
      <c r="L122" s="35">
        <f t="shared" si="48"/>
        <v>1.3807292200883543</v>
      </c>
      <c r="M122" s="35">
        <f t="shared" si="50"/>
        <v>2.7628395146366396</v>
      </c>
      <c r="N122" s="39">
        <f t="shared" si="49"/>
        <v>5.5284425596129267</v>
      </c>
    </row>
    <row r="123" spans="2:14" ht="15.75" thickBot="1" x14ac:dyDescent="0.3">
      <c r="B123" s="35"/>
      <c r="C123" s="35"/>
      <c r="D123" s="35"/>
      <c r="E123" s="35"/>
      <c r="F123" s="35"/>
      <c r="G123" s="35"/>
      <c r="H123" s="40">
        <f t="shared" si="44"/>
        <v>0</v>
      </c>
      <c r="I123" s="35">
        <f t="shared" si="45"/>
        <v>0</v>
      </c>
      <c r="J123" s="35">
        <f t="shared" si="46"/>
        <v>0</v>
      </c>
      <c r="K123" s="35">
        <f t="shared" si="47"/>
        <v>0</v>
      </c>
      <c r="L123" s="35">
        <f t="shared" si="48"/>
        <v>0</v>
      </c>
      <c r="M123" s="35">
        <f t="shared" si="50"/>
        <v>0</v>
      </c>
      <c r="N123" s="39">
        <f t="shared" si="49"/>
        <v>0</v>
      </c>
    </row>
    <row r="124" spans="2:14" ht="15.75" thickBot="1" x14ac:dyDescent="0.3">
      <c r="B124" s="35"/>
      <c r="C124" s="35"/>
      <c r="D124" s="35"/>
      <c r="E124" s="35"/>
      <c r="F124" s="35"/>
      <c r="G124" s="35"/>
      <c r="H124" s="35"/>
      <c r="I124" s="40">
        <f t="shared" si="45"/>
        <v>0</v>
      </c>
      <c r="J124" s="35">
        <f t="shared" si="46"/>
        <v>0</v>
      </c>
      <c r="K124" s="35">
        <f t="shared" si="47"/>
        <v>0</v>
      </c>
      <c r="L124" s="35">
        <f t="shared" si="48"/>
        <v>0</v>
      </c>
      <c r="M124" s="35">
        <f t="shared" si="50"/>
        <v>0</v>
      </c>
      <c r="N124" s="39">
        <f t="shared" si="49"/>
        <v>0</v>
      </c>
    </row>
    <row r="125" spans="2:14" ht="15.75" thickBot="1" x14ac:dyDescent="0.3">
      <c r="B125" s="35"/>
      <c r="C125" s="35"/>
      <c r="D125" s="35"/>
      <c r="E125" s="35"/>
      <c r="F125" s="35"/>
      <c r="G125" s="35"/>
      <c r="H125" s="35"/>
      <c r="I125" s="35"/>
      <c r="J125" s="40">
        <f t="shared" si="46"/>
        <v>0</v>
      </c>
      <c r="K125" s="35">
        <f t="shared" si="47"/>
        <v>0</v>
      </c>
      <c r="L125" s="35">
        <f t="shared" si="48"/>
        <v>0</v>
      </c>
      <c r="M125" s="35">
        <f t="shared" si="50"/>
        <v>0</v>
      </c>
      <c r="N125" s="39">
        <f t="shared" si="49"/>
        <v>0</v>
      </c>
    </row>
    <row r="126" spans="2:14" ht="15.75" thickBot="1" x14ac:dyDescent="0.3">
      <c r="B126" s="35"/>
      <c r="C126" s="35"/>
      <c r="D126" s="35"/>
      <c r="E126" s="35"/>
      <c r="F126" s="35"/>
      <c r="G126" s="35"/>
      <c r="H126" s="35"/>
      <c r="I126" s="35"/>
      <c r="J126" s="35"/>
      <c r="K126" s="40">
        <f t="shared" si="47"/>
        <v>0</v>
      </c>
      <c r="L126" s="35">
        <f t="shared" si="48"/>
        <v>0</v>
      </c>
      <c r="M126" s="35">
        <f t="shared" si="50"/>
        <v>0</v>
      </c>
      <c r="N126" s="39">
        <f t="shared" si="49"/>
        <v>0</v>
      </c>
    </row>
    <row r="127" spans="2:14" ht="15.75" thickBot="1" x14ac:dyDescent="0.3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40">
        <f t="shared" si="48"/>
        <v>0</v>
      </c>
      <c r="M127" s="35">
        <f t="shared" si="50"/>
        <v>0</v>
      </c>
      <c r="N127" s="39">
        <f t="shared" si="49"/>
        <v>0</v>
      </c>
    </row>
    <row r="128" spans="2:14" ht="15.75" thickBot="1" x14ac:dyDescent="0.3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40">
        <f t="shared" si="50"/>
        <v>0</v>
      </c>
      <c r="N128" s="39">
        <f t="shared" si="49"/>
        <v>0</v>
      </c>
    </row>
    <row r="129" spans="2:14" ht="15.75" thickBot="1" x14ac:dyDescent="0.3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41">
        <f t="shared" si="49"/>
        <v>0</v>
      </c>
    </row>
    <row r="132" spans="2:14" x14ac:dyDescent="0.25">
      <c r="B132" s="1" t="s">
        <v>24</v>
      </c>
    </row>
    <row r="133" spans="2:14" x14ac:dyDescent="0.25">
      <c r="B133" s="29" t="s">
        <v>21</v>
      </c>
      <c r="C133" s="2">
        <v>1</v>
      </c>
    </row>
    <row r="134" spans="2:14" x14ac:dyDescent="0.25">
      <c r="B134" s="29" t="s">
        <v>22</v>
      </c>
      <c r="C134" s="2">
        <f>strike</f>
        <v>84</v>
      </c>
    </row>
    <row r="136" spans="2:14" ht="15.75" thickBot="1" x14ac:dyDescent="0.3">
      <c r="B136" s="30" t="s">
        <v>20</v>
      </c>
    </row>
    <row r="137" spans="2:14" ht="15.75" thickBot="1" x14ac:dyDescent="0.3">
      <c r="B137" s="20">
        <v>0</v>
      </c>
      <c r="C137" s="21">
        <v>1</v>
      </c>
      <c r="D137" s="21">
        <v>2</v>
      </c>
      <c r="E137" s="21">
        <v>3</v>
      </c>
      <c r="F137" s="21">
        <v>4</v>
      </c>
      <c r="G137" s="21">
        <v>5</v>
      </c>
      <c r="H137" s="21">
        <v>6</v>
      </c>
      <c r="I137" s="21">
        <v>7</v>
      </c>
      <c r="J137" s="21">
        <v>8</v>
      </c>
      <c r="K137" s="21">
        <v>9</v>
      </c>
      <c r="L137" s="21">
        <v>10</v>
      </c>
      <c r="M137" s="21">
        <v>11</v>
      </c>
      <c r="N137" s="22">
        <v>12</v>
      </c>
    </row>
    <row r="138" spans="2:14" ht="15.75" thickBot="1" x14ac:dyDescent="0.3">
      <c r="B138" s="38">
        <f t="shared" ref="B138:G138" si="51">MAX(Descuento*(p*C138+(1-p)*C139),MAX(B47-strike,0))</f>
        <v>9.8139606428666077</v>
      </c>
      <c r="C138" s="35">
        <f t="shared" si="51"/>
        <v>14.223905710590428</v>
      </c>
      <c r="D138" s="35">
        <f t="shared" si="51"/>
        <v>20.217765046079887</v>
      </c>
      <c r="E138" s="35">
        <f t="shared" si="51"/>
        <v>28.131464392392807</v>
      </c>
      <c r="F138" s="35">
        <f t="shared" si="51"/>
        <v>38.24702267211272</v>
      </c>
      <c r="G138" s="35">
        <f t="shared" si="51"/>
        <v>50.725509044231465</v>
      </c>
      <c r="H138" s="35">
        <f t="shared" ref="H138:M144" si="52">MAX(Descuento*(p*I138+(1-p)*I139),MAX(H47-strike,0))</f>
        <v>65.551601155786287</v>
      </c>
      <c r="I138" s="35">
        <f t="shared" si="52"/>
        <v>82.54125893087523</v>
      </c>
      <c r="J138" s="35">
        <f t="shared" si="52"/>
        <v>101.49822415649408</v>
      </c>
      <c r="K138" s="35">
        <f t="shared" si="52"/>
        <v>122.64975702684453</v>
      </c>
      <c r="L138" s="35">
        <f t="shared" si="52"/>
        <v>144.37483865075248</v>
      </c>
      <c r="M138" s="35">
        <f t="shared" si="52"/>
        <v>170.70439234927895</v>
      </c>
      <c r="N138" s="39">
        <f>MAX(N47-strike,0)</f>
        <v>200.08028933607602</v>
      </c>
    </row>
    <row r="139" spans="2:14" ht="15.75" thickBot="1" x14ac:dyDescent="0.3">
      <c r="B139" s="35"/>
      <c r="C139" s="40">
        <f>MAX(Descuento*(p*D139+(1-p)*D140),MAX(C48-strike,0))</f>
        <v>5.4138319896847804</v>
      </c>
      <c r="D139" s="35">
        <f>MAX(Descuento*(p*E139+(1-p)*E140),MAX(D48-strike,0))</f>
        <v>8.2442738373807245</v>
      </c>
      <c r="E139" s="35">
        <f>MAX(Descuento*(p*F139+(1-p)*F140),MAX(E48-strike,0))</f>
        <v>12.324288520096822</v>
      </c>
      <c r="F139" s="35">
        <f>MAX(Descuento*(p*G139+(1-p)*G140),MAX(F48-strike,0))</f>
        <v>18.044044611103672</v>
      </c>
      <c r="G139" s="35">
        <f>MAX(Descuento*(p*H139+(1-p)*H140),MAX(G48-strike,0))</f>
        <v>25.806792886015579</v>
      </c>
      <c r="H139" s="35">
        <f t="shared" si="52"/>
        <v>35.950155125211971</v>
      </c>
      <c r="I139" s="35">
        <f t="shared" si="52"/>
        <v>48.627511372485067</v>
      </c>
      <c r="J139" s="35">
        <f t="shared" si="52"/>
        <v>63.666855602941631</v>
      </c>
      <c r="K139" s="35">
        <f t="shared" si="52"/>
        <v>80.448214889085762</v>
      </c>
      <c r="L139" s="35">
        <f t="shared" si="52"/>
        <v>97.298292733996519</v>
      </c>
      <c r="M139" s="35">
        <f t="shared" si="52"/>
        <v>118.18969589060279</v>
      </c>
      <c r="N139" s="39">
        <f t="shared" ref="N139:N150" si="53">MAX(N48-strike,0)</f>
        <v>141.49924243804281</v>
      </c>
    </row>
    <row r="140" spans="2:14" ht="15.75" thickBot="1" x14ac:dyDescent="0.3">
      <c r="B140" s="35"/>
      <c r="C140" s="35"/>
      <c r="D140" s="40">
        <f>MAX(Descuento*(p*E140+(1-p)*E141),MAX(D49-strike,0))</f>
        <v>2.588805327662123</v>
      </c>
      <c r="E140" s="35">
        <f>MAX(Descuento*(p*F140+(1-p)*F141),MAX(E49-strike,0))</f>
        <v>4.1725054899140188</v>
      </c>
      <c r="F140" s="35">
        <f>MAX(Descuento*(p*G140+(1-p)*G141),MAX(F49-strike,0))</f>
        <v>6.6168597991957743</v>
      </c>
      <c r="G140" s="35">
        <f>MAX(Descuento*(p*H140+(1-p)*H141),MAX(G49-strike,0))</f>
        <v>10.299344892565946</v>
      </c>
      <c r="H140" s="35">
        <f t="shared" si="52"/>
        <v>15.689243892478844</v>
      </c>
      <c r="I140" s="35">
        <f t="shared" si="52"/>
        <v>23.308758022100978</v>
      </c>
      <c r="J140" s="35">
        <f t="shared" si="52"/>
        <v>33.636806812305224</v>
      </c>
      <c r="K140" s="35">
        <f t="shared" si="52"/>
        <v>46.949179091767462</v>
      </c>
      <c r="L140" s="35">
        <f t="shared" si="52"/>
        <v>59.929542280953065</v>
      </c>
      <c r="M140" s="35">
        <f t="shared" si="52"/>
        <v>76.504212198752029</v>
      </c>
      <c r="N140" s="39">
        <f t="shared" si="53"/>
        <v>94.998368591402539</v>
      </c>
    </row>
    <row r="141" spans="2:14" ht="15.75" thickBot="1" x14ac:dyDescent="0.3">
      <c r="B141" s="35"/>
      <c r="C141" s="35"/>
      <c r="D141" s="35"/>
      <c r="E141" s="40">
        <f>MAX(Descuento*(p*F141+(1-p)*F142),MAX(E50-strike,0))</f>
        <v>1.0076946180471011</v>
      </c>
      <c r="F141" s="35">
        <f>MAX(Descuento*(p*G141+(1-p)*G142),MAX(F50-strike,0))</f>
        <v>1.732324729422426</v>
      </c>
      <c r="G141" s="35">
        <f>MAX(Descuento*(p*H141+(1-p)*H142),MAX(G50-strike,0))</f>
        <v>2.9409932201154847</v>
      </c>
      <c r="H141" s="35">
        <f t="shared" si="52"/>
        <v>4.9197478128110284</v>
      </c>
      <c r="I141" s="35">
        <f t="shared" si="52"/>
        <v>8.0854229297139586</v>
      </c>
      <c r="J141" s="35">
        <f t="shared" si="52"/>
        <v>13.004023818079663</v>
      </c>
      <c r="K141" s="35">
        <f t="shared" si="52"/>
        <v>20.358079750258696</v>
      </c>
      <c r="L141" s="35">
        <f t="shared" si="52"/>
        <v>30.266713727407758</v>
      </c>
      <c r="M141" s="35">
        <f t="shared" si="52"/>
        <v>43.414816890318001</v>
      </c>
      <c r="N141" s="39">
        <f t="shared" si="53"/>
        <v>58.086579147541386</v>
      </c>
    </row>
    <row r="142" spans="2:14" ht="15.75" thickBot="1" x14ac:dyDescent="0.3">
      <c r="B142" s="35"/>
      <c r="C142" s="35"/>
      <c r="D142" s="35"/>
      <c r="E142" s="35"/>
      <c r="F142" s="40">
        <f>MAX(Descuento*(p*G142+(1-p)*G143),MAX(F51-strike,0))</f>
        <v>0.2840724532554702</v>
      </c>
      <c r="G142" s="35">
        <f>MAX(Descuento*(p*H142+(1-p)*H143),MAX(G51-strike,0))</f>
        <v>0.52538899661216132</v>
      </c>
      <c r="H142" s="35">
        <f t="shared" si="52"/>
        <v>0.96518035601091745</v>
      </c>
      <c r="I142" s="35">
        <f t="shared" si="52"/>
        <v>1.7589936738628775</v>
      </c>
      <c r="J142" s="35">
        <f t="shared" si="52"/>
        <v>3.1749094859706339</v>
      </c>
      <c r="K142" s="35">
        <f t="shared" si="52"/>
        <v>5.662975161266564</v>
      </c>
      <c r="L142" s="35">
        <f t="shared" si="52"/>
        <v>9.9508854935858171</v>
      </c>
      <c r="M142" s="35">
        <f t="shared" si="52"/>
        <v>17.148884846164627</v>
      </c>
      <c r="N142" s="39">
        <f t="shared" si="53"/>
        <v>28.78648030549833</v>
      </c>
    </row>
    <row r="143" spans="2:14" ht="15.75" thickBot="1" x14ac:dyDescent="0.3">
      <c r="B143" s="35"/>
      <c r="C143" s="35"/>
      <c r="D143" s="35"/>
      <c r="E143" s="35"/>
      <c r="F143" s="35"/>
      <c r="G143" s="40">
        <f>MAX(Descuento*(p*H143+(1-p)*H144),MAX(G52-strike,0))</f>
        <v>4.3040053381985729E-2</v>
      </c>
      <c r="H143" s="35">
        <f t="shared" si="52"/>
        <v>8.612315757916035E-2</v>
      </c>
      <c r="I143" s="35">
        <f t="shared" si="52"/>
        <v>0.17233245985027817</v>
      </c>
      <c r="J143" s="35">
        <f t="shared" si="52"/>
        <v>0.344837295250703</v>
      </c>
      <c r="K143" s="35">
        <f t="shared" si="52"/>
        <v>0.69001951402035056</v>
      </c>
      <c r="L143" s="35">
        <f t="shared" si="52"/>
        <v>1.3807292200883543</v>
      </c>
      <c r="M143" s="35">
        <f t="shared" si="52"/>
        <v>2.7628395146366396</v>
      </c>
      <c r="N143" s="39">
        <f t="shared" si="53"/>
        <v>5.5284425596129267</v>
      </c>
    </row>
    <row r="144" spans="2:14" ht="15.75" thickBot="1" x14ac:dyDescent="0.3">
      <c r="B144" s="35"/>
      <c r="C144" s="35"/>
      <c r="D144" s="35"/>
      <c r="E144" s="35"/>
      <c r="F144" s="35"/>
      <c r="G144" s="35"/>
      <c r="H144" s="40">
        <f t="shared" si="52"/>
        <v>0</v>
      </c>
      <c r="I144" s="35">
        <f t="shared" si="52"/>
        <v>0</v>
      </c>
      <c r="J144" s="35">
        <f t="shared" si="52"/>
        <v>0</v>
      </c>
      <c r="K144" s="35">
        <f t="shared" si="52"/>
        <v>0</v>
      </c>
      <c r="L144" s="35">
        <f t="shared" si="52"/>
        <v>0</v>
      </c>
      <c r="M144" s="35">
        <f t="shared" si="52"/>
        <v>0</v>
      </c>
      <c r="N144" s="39">
        <f t="shared" si="53"/>
        <v>0</v>
      </c>
    </row>
    <row r="145" spans="2:14" ht="15.75" thickBot="1" x14ac:dyDescent="0.3">
      <c r="B145" s="35"/>
      <c r="C145" s="35"/>
      <c r="D145" s="35"/>
      <c r="E145" s="35"/>
      <c r="F145" s="35"/>
      <c r="G145" s="35"/>
      <c r="H145" s="35"/>
      <c r="I145" s="40">
        <f>MAX(Descuento*(p*J145+(1-p)*J146),MAX(I54-strike,0))</f>
        <v>0</v>
      </c>
      <c r="J145" s="35">
        <f>MAX(Descuento*(p*K145+(1-p)*K146),MAX(J54-strike,0))</f>
        <v>0</v>
      </c>
      <c r="K145" s="35">
        <f>MAX(Descuento*(p*L145+(1-p)*L146),MAX(K54-strike,0))</f>
        <v>0</v>
      </c>
      <c r="L145" s="35">
        <f>MAX(Descuento*(p*M145+(1-p)*M146),MAX(L54-strike,0))</f>
        <v>0</v>
      </c>
      <c r="M145" s="35">
        <f>MAX(Descuento*(p*N145+(1-p)*N146),MAX(M54-strike,0))</f>
        <v>0</v>
      </c>
      <c r="N145" s="39">
        <f t="shared" si="53"/>
        <v>0</v>
      </c>
    </row>
    <row r="146" spans="2:14" ht="15.75" thickBot="1" x14ac:dyDescent="0.3">
      <c r="B146" s="35"/>
      <c r="C146" s="35"/>
      <c r="D146" s="35"/>
      <c r="E146" s="35"/>
      <c r="F146" s="35"/>
      <c r="G146" s="35"/>
      <c r="H146" s="35"/>
      <c r="I146" s="35"/>
      <c r="J146" s="40">
        <f>MAX(Descuento*(p*K146+(1-p)*K147),MAX(J55-strike,0))</f>
        <v>0</v>
      </c>
      <c r="K146" s="35">
        <f>MAX(Descuento*(p*L146+(1-p)*L147),MAX(K55-strike,0))</f>
        <v>0</v>
      </c>
      <c r="L146" s="35">
        <f>MAX(Descuento*(p*M146+(1-p)*M147),MAX(L55-strike,0))</f>
        <v>0</v>
      </c>
      <c r="M146" s="35">
        <f>MAX(Descuento*(p*N146+(1-p)*N147),MAX(M55-strike,0))</f>
        <v>0</v>
      </c>
      <c r="N146" s="39">
        <f t="shared" si="53"/>
        <v>0</v>
      </c>
    </row>
    <row r="147" spans="2:14" ht="15.75" thickBot="1" x14ac:dyDescent="0.3">
      <c r="B147" s="35"/>
      <c r="C147" s="35"/>
      <c r="D147" s="35"/>
      <c r="E147" s="35"/>
      <c r="F147" s="35"/>
      <c r="G147" s="35"/>
      <c r="H147" s="35"/>
      <c r="I147" s="35"/>
      <c r="J147" s="35"/>
      <c r="K147" s="40">
        <f>MAX(Descuento*(p*L147+(1-p)*L148),MAX(K56-strike,0))</f>
        <v>0</v>
      </c>
      <c r="L147" s="35">
        <f>MAX(Descuento*(p*M147+(1-p)*M148),MAX(L56-strike,0))</f>
        <v>0</v>
      </c>
      <c r="M147" s="35">
        <f>MAX(Descuento*(p*N147+(1-p)*N148),MAX(M56-strike,0))</f>
        <v>0</v>
      </c>
      <c r="N147" s="39">
        <f t="shared" si="53"/>
        <v>0</v>
      </c>
    </row>
    <row r="148" spans="2:14" ht="15.75" thickBot="1" x14ac:dyDescent="0.3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40">
        <f>MAX(Descuento*(p*M148+(1-p)*M149),MAX(L57-strike,0))</f>
        <v>0</v>
      </c>
      <c r="M148" s="35">
        <f>MAX(Descuento*(p*N148+(1-p)*N149),MAX(M57-strike,0))</f>
        <v>0</v>
      </c>
      <c r="N148" s="39">
        <f t="shared" si="53"/>
        <v>0</v>
      </c>
    </row>
    <row r="149" spans="2:14" ht="15.75" thickBot="1" x14ac:dyDescent="0.3"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40">
        <f>MAX(Descuento*(p*N149+(1-p)*N150),MAX(M58-strike,0))</f>
        <v>0</v>
      </c>
      <c r="N149" s="39">
        <f t="shared" si="53"/>
        <v>0</v>
      </c>
    </row>
    <row r="150" spans="2:14" ht="15.75" thickBot="1" x14ac:dyDescent="0.3"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41">
        <f t="shared" si="53"/>
        <v>0</v>
      </c>
    </row>
  </sheetData>
  <pageMargins left="0.75" right="0.75" top="1" bottom="1" header="0" footer="0"/>
  <pageSetup paperSize="9" orientation="portrait" horizontalDpi="4294967294" verticalDpi="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Hoja1</vt:lpstr>
      <vt:lpstr>Hoja2</vt:lpstr>
      <vt:lpstr>Hoja2!d</vt:lpstr>
      <vt:lpstr>d</vt:lpstr>
      <vt:lpstr>Hoja2!Deltat</vt:lpstr>
      <vt:lpstr>Deltat</vt:lpstr>
      <vt:lpstr>Hoja2!Descuento</vt:lpstr>
      <vt:lpstr>Descuento</vt:lpstr>
      <vt:lpstr>Hoja2!dividendo1</vt:lpstr>
      <vt:lpstr>dividendo1</vt:lpstr>
      <vt:lpstr>Hoja2!dividendo2</vt:lpstr>
      <vt:lpstr>dividendo2</vt:lpstr>
      <vt:lpstr>Hoja2!p</vt:lpstr>
      <vt:lpstr>p</vt:lpstr>
      <vt:lpstr>Hoja2!probs</vt:lpstr>
      <vt:lpstr>probs</vt:lpstr>
      <vt:lpstr>Hoja2!S0</vt:lpstr>
      <vt:lpstr>S0</vt:lpstr>
      <vt:lpstr>Hoja2!strike</vt:lpstr>
      <vt:lpstr>strike</vt:lpstr>
      <vt:lpstr>Hoja2!Tiempo1</vt:lpstr>
      <vt:lpstr>Tiempo1</vt:lpstr>
      <vt:lpstr>Hoja2!Tiempo2</vt:lpstr>
      <vt:lpstr>Tiempo2</vt:lpstr>
      <vt:lpstr>Hoja2!tipo</vt:lpstr>
      <vt:lpstr>tipo</vt:lpstr>
      <vt:lpstr>Hoja2!u</vt:lpstr>
      <vt:lpstr>u</vt:lpstr>
      <vt:lpstr>Hoja2!vola</vt:lpstr>
      <vt:lpstr>vola</vt:lpstr>
    </vt:vector>
  </TitlesOfParts>
  <Company>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Contreras</dc:creator>
  <cp:lastModifiedBy>José María Contreras Beltrán</cp:lastModifiedBy>
  <dcterms:created xsi:type="dcterms:W3CDTF">2006-12-02T09:52:55Z</dcterms:created>
  <dcterms:modified xsi:type="dcterms:W3CDTF">2025-09-14T18:49:59Z</dcterms:modified>
</cp:coreProperties>
</file>