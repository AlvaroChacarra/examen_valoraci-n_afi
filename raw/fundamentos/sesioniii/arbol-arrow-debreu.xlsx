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Consultoria\FORMACION\MASTERS CUANTITATIVOS\MEFC 2025\Valoración\Chema\Sesión III\Ejercicios\"/>
    </mc:Choice>
  </mc:AlternateContent>
  <xr:revisionPtr revIDLastSave="0" documentId="13_ncr:1_{B95F4BCD-51C5-44D3-A6C2-429549186B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d">Hoja1!$H$12</definedName>
    <definedName name="deltat">Hoja1!$D$11</definedName>
    <definedName name="factorVola">Hoja1!$J$11</definedName>
    <definedName name="S0">Hoja1!$D$7</definedName>
    <definedName name="T">Hoja1!$D$12</definedName>
    <definedName name="tipo">Hoja1!$D$5</definedName>
    <definedName name="u">Hoja1!$H$11</definedName>
    <definedName name="vola">Hoja1!$D$6</definedName>
  </definedNames>
  <calcPr calcId="191029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D11" i="1"/>
  <c r="I11" i="1" l="1"/>
  <c r="K11" i="1"/>
  <c r="J12" i="1"/>
  <c r="D12" i="1"/>
  <c r="J11" i="1"/>
  <c r="I12" i="1"/>
  <c r="K12" i="1"/>
  <c r="H12" i="1" l="1"/>
  <c r="H11" i="1"/>
  <c r="E18" i="1" s="1"/>
  <c r="F18" i="1" s="1"/>
  <c r="F19" i="1" l="1"/>
  <c r="G20" i="1" s="1"/>
  <c r="H21" i="1" s="1"/>
  <c r="E19" i="1"/>
  <c r="F20" i="1" s="1"/>
  <c r="G21" i="1" s="1"/>
  <c r="H22" i="1" s="1"/>
  <c r="G18" i="1"/>
  <c r="G19" i="1"/>
  <c r="H20" i="1" s="1"/>
  <c r="I23" i="1" l="1"/>
  <c r="H61" i="1"/>
  <c r="I22" i="1"/>
  <c r="H60" i="1"/>
  <c r="I21" i="1"/>
  <c r="H59" i="1"/>
  <c r="H18" i="1"/>
  <c r="H57" i="1" s="1"/>
  <c r="H19" i="1"/>
  <c r="I20" i="1" l="1"/>
  <c r="H58" i="1"/>
  <c r="J23" i="1"/>
  <c r="J62" i="1" s="1"/>
  <c r="I61" i="1"/>
  <c r="J22" i="1"/>
  <c r="J61" i="1" s="1"/>
  <c r="I60" i="1"/>
  <c r="J24" i="1"/>
  <c r="J63" i="1" s="1"/>
  <c r="I62" i="1"/>
  <c r="I18" i="1"/>
  <c r="I57" i="1" s="1"/>
  <c r="I19" i="1"/>
  <c r="J20" i="1" l="1"/>
  <c r="J59" i="1" s="1"/>
  <c r="I58" i="1"/>
  <c r="J21" i="1"/>
  <c r="J60" i="1" s="1"/>
  <c r="I59" i="1"/>
  <c r="J18" i="1"/>
  <c r="J57" i="1" s="1"/>
  <c r="J19" i="1"/>
  <c r="J5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Euclides</author>
    <author>Pablo Fernández Gallardo</author>
  </authors>
  <commentList>
    <comment ref="D3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estos ceros son auxiliares, para dar cuenta de la situación en los "bordes"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44" authorId="1" shapeId="0" xr:uid="{00000000-0006-0000-0000-000002000000}">
      <text>
        <r>
          <rPr>
            <b/>
            <sz val="8"/>
            <color indexed="81"/>
            <rFont val="Tahoma"/>
            <family val="2"/>
          </rPr>
          <t>observa cómo la suma de los precios de los AD de un cierto tiempo coincide con el descuento de esa fecha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66" authorId="1" shapeId="0" xr:uid="{00000000-0006-0000-0000-000003000000}">
      <text>
        <r>
          <rPr>
            <b/>
            <sz val="8"/>
            <color indexed="81"/>
            <rFont val="Tahoma"/>
            <family val="2"/>
          </rPr>
          <t>valoramos la cartera completa con una simple multiplicación por los precios de los AD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<sst xmlns="http://schemas.openxmlformats.org/spreadsheetml/2006/main" count="35" uniqueCount="33">
  <si>
    <t>Datos de mercado</t>
  </si>
  <si>
    <t>tipo</t>
  </si>
  <si>
    <t>S0</t>
  </si>
  <si>
    <t>Datos del modelo</t>
  </si>
  <si>
    <t>Deltat</t>
  </si>
  <si>
    <t>Vencimiento</t>
  </si>
  <si>
    <t>u</t>
  </si>
  <si>
    <t>d</t>
  </si>
  <si>
    <t>tiempo</t>
  </si>
  <si>
    <t>Árbol de evolución de los valores del subyacente</t>
  </si>
  <si>
    <t>deriva tipos</t>
  </si>
  <si>
    <t>factor(vola)</t>
  </si>
  <si>
    <t>ruido</t>
  </si>
  <si>
    <t>volatilidad</t>
  </si>
  <si>
    <t>Cálculo de los parámetros JR</t>
  </si>
  <si>
    <t>sumas</t>
  </si>
  <si>
    <t>descuentos</t>
  </si>
  <si>
    <t>Valoración de una cartera de opciones europeas</t>
  </si>
  <si>
    <t>Call1</t>
  </si>
  <si>
    <t>strike1</t>
  </si>
  <si>
    <t>T1</t>
  </si>
  <si>
    <t>Call2</t>
  </si>
  <si>
    <t>strike2</t>
  </si>
  <si>
    <t>T2</t>
  </si>
  <si>
    <t>strike3</t>
  </si>
  <si>
    <t>T3</t>
  </si>
  <si>
    <t>Put3</t>
  </si>
  <si>
    <t>Valoración usando el árbol de Arrow-Debreu</t>
  </si>
  <si>
    <t>Valoración de opciones europeas con el árbol de Arrow-Debreu</t>
  </si>
  <si>
    <t>Árbol de payoffs de la cartera</t>
  </si>
  <si>
    <t>Construcción del árbol de Arrow-Debreu</t>
  </si>
  <si>
    <t>p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</si>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</sst>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%"/>
    <numFmt numFmtId="166" formatCode="0.0000%"/>
    <numFmt numFmtId="167" formatCode="0.000"/>
    <numFmt numFmtId="168" formatCode="0.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3" fillId="0" borderId="0" xfId="0" applyFont="1"/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9" fontId="0" fillId="0" borderId="5" xfId="0" applyNumberForma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8" xfId="0" applyFon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3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65" fontId="0" fillId="0" borderId="0" xfId="1" applyNumberFormat="1" applyFont="1"/>
    <xf numFmtId="166" fontId="0" fillId="0" borderId="0" xfId="1" applyNumberFormat="1" applyFont="1"/>
    <xf numFmtId="0" fontId="0" fillId="4" borderId="2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5" borderId="0" xfId="0" applyFill="1"/>
    <xf numFmtId="165" fontId="0" fillId="0" borderId="0" xfId="0" applyNumberFormat="1"/>
    <xf numFmtId="0" fontId="3" fillId="6" borderId="1" xfId="0" applyFont="1" applyFill="1" applyBorder="1" applyAlignment="1">
      <alignment horizontal="center"/>
    </xf>
    <xf numFmtId="167" fontId="0" fillId="0" borderId="0" xfId="0" applyNumberFormat="1"/>
    <xf numFmtId="167" fontId="0" fillId="0" borderId="0" xfId="1" applyNumberFormat="1" applyFont="1" applyFill="1"/>
    <xf numFmtId="167" fontId="0" fillId="4" borderId="0" xfId="0" applyNumberFormat="1" applyFill="1"/>
    <xf numFmtId="167" fontId="0" fillId="7" borderId="0" xfId="0" applyNumberFormat="1" applyFill="1"/>
    <xf numFmtId="167" fontId="0" fillId="3" borderId="0" xfId="0" applyNumberFormat="1" applyFill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9" fontId="0" fillId="4" borderId="0" xfId="0" applyNumberFormat="1" applyFill="1"/>
    <xf numFmtId="10" fontId="0" fillId="4" borderId="0" xfId="1" applyNumberFormat="1" applyFont="1" applyFill="1"/>
    <xf numFmtId="0" fontId="0" fillId="0" borderId="8" xfId="0" applyBorder="1"/>
    <xf numFmtId="0" fontId="0" fillId="0" borderId="10" xfId="0" applyBorder="1"/>
    <xf numFmtId="0" fontId="0" fillId="0" borderId="9" xfId="0" applyBorder="1"/>
    <xf numFmtId="168" fontId="0" fillId="0" borderId="3" xfId="0" applyNumberFormat="1" applyBorder="1" applyAlignment="1">
      <alignment horizontal="center"/>
    </xf>
    <xf numFmtId="0" fontId="0" fillId="4" borderId="4" xfId="0" applyFill="1" applyBorder="1" applyAlignment="1">
      <alignment horizontal="center"/>
    </xf>
    <xf numFmtId="9" fontId="0" fillId="4" borderId="7" xfId="1" applyFont="1" applyFill="1" applyBorder="1" applyAlignment="1">
      <alignment horizontal="center"/>
    </xf>
    <xf numFmtId="164" fontId="0" fillId="4" borderId="3" xfId="0" applyNumberFormat="1" applyFill="1" applyBorder="1" applyAlignment="1">
      <alignment horizontal="center"/>
    </xf>
    <xf numFmtId="164" fontId="0" fillId="4" borderId="5" xfId="0" applyNumberForma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428625</xdr:colOff>
      <xdr:row>33</xdr:row>
      <xdr:rowOff>180731</xdr:rowOff>
    </xdr:from>
    <xdr:to>
      <xdr:col>18</xdr:col>
      <xdr:colOff>357187</xdr:colOff>
      <xdr:row>39</xdr:row>
      <xdr:rowOff>115887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6506919"/>
          <a:ext cx="6024562" cy="1094031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XFD66"/>
  <sheetViews>
    <sheetView showGridLines="0" tabSelected="1" zoomScale="120" zoomScaleNormal="120" workbookViewId="0"/>
  </sheetViews>
  <sheetFormatPr defaultColWidth="11.42578125" defaultRowHeight="15" x14ac:dyDescent="0.25"/>
  <cols>
    <col min="3" max="3" width="13.7109375" customWidth="1"/>
    <col min="4" max="4" width="11.5703125" bestFit="1" customWidth="1"/>
    <col min="9" max="9" width="12.140625" bestFit="1" customWidth="1"/>
  </cols>
  <sheetData>
    <row r="1" spans="3:11 16384:16384" x14ac:dyDescent="0.25">
      <c r="XFD1" t="s">
        <v>32</v>
      </c>
    </row>
    <row r="3" spans="3:11 16384:16384" x14ac:dyDescent="0.25">
      <c r="C3" s="9" t="s">
        <v>0</v>
      </c>
    </row>
    <row r="4" spans="3:11 16384:16384" ht="15.75" thickBot="1" x14ac:dyDescent="0.3">
      <c r="H4" s="13"/>
    </row>
    <row r="5" spans="3:11 16384:16384" x14ac:dyDescent="0.25">
      <c r="C5" s="2" t="s">
        <v>1</v>
      </c>
      <c r="D5" s="34">
        <v>6.0000000000000001E-3</v>
      </c>
    </row>
    <row r="6" spans="3:11 16384:16384" x14ac:dyDescent="0.25">
      <c r="C6" s="3" t="s">
        <v>13</v>
      </c>
      <c r="D6" s="4">
        <v>0.3</v>
      </c>
    </row>
    <row r="7" spans="3:11 16384:16384" ht="15.75" thickBot="1" x14ac:dyDescent="0.3">
      <c r="C7" s="5" t="s">
        <v>2</v>
      </c>
      <c r="D7" s="6">
        <v>80</v>
      </c>
    </row>
    <row r="8" spans="3:11 16384:16384" x14ac:dyDescent="0.25">
      <c r="G8" t="s">
        <v>14</v>
      </c>
    </row>
    <row r="9" spans="3:11 16384:16384" x14ac:dyDescent="0.25">
      <c r="C9" s="9" t="s">
        <v>3</v>
      </c>
    </row>
    <row r="10" spans="3:11 16384:16384" ht="15.75" thickBot="1" x14ac:dyDescent="0.3">
      <c r="I10" t="s">
        <v>10</v>
      </c>
      <c r="J10" t="s">
        <v>11</v>
      </c>
      <c r="K10" t="s">
        <v>12</v>
      </c>
    </row>
    <row r="11" spans="3:11 16384:16384" ht="15.75" thickBot="1" x14ac:dyDescent="0.3">
      <c r="C11" s="7" t="s">
        <v>4</v>
      </c>
      <c r="D11" s="8">
        <f>1/12</f>
        <v>8.3333333333333329E-2</v>
      </c>
      <c r="G11" s="14" t="s">
        <v>6</v>
      </c>
      <c r="H11" s="37">
        <f>I11*J11*K11</f>
        <v>1.0869300107425321</v>
      </c>
      <c r="I11">
        <f>EXP(tipo*deltat)</f>
        <v>1.0005001250208359</v>
      </c>
      <c r="J11">
        <f>2/(EXP(vola*SQRT(deltat))+EXP(-vola*SQRT(deltat)))</f>
        <v>0.99626168311616936</v>
      </c>
      <c r="K11">
        <f>EXP(vola*SQRT(deltat))</f>
        <v>1.0904631784921235</v>
      </c>
    </row>
    <row r="12" spans="3:11 16384:16384" ht="15.75" thickBot="1" x14ac:dyDescent="0.3">
      <c r="C12" s="7" t="s">
        <v>5</v>
      </c>
      <c r="D12" s="8">
        <f>6*deltat</f>
        <v>0.5</v>
      </c>
      <c r="G12" s="35" t="s">
        <v>7</v>
      </c>
      <c r="H12" s="38">
        <f>I12*J12*K12</f>
        <v>0.91407023929913966</v>
      </c>
      <c r="I12">
        <f>EXP(tipo*deltat)</f>
        <v>1.0005001250208359</v>
      </c>
      <c r="J12">
        <f>2/(EXP(vola*SQRT(deltat))+EXP(-vola*SQRT(deltat)))</f>
        <v>0.99626168311616936</v>
      </c>
      <c r="K12">
        <f>EXP(-vola*SQRT(deltat))</f>
        <v>0.91704151017990843</v>
      </c>
    </row>
    <row r="13" spans="3:11 16384:16384" ht="15.75" thickBot="1" x14ac:dyDescent="0.3">
      <c r="G13" s="15" t="s">
        <v>31</v>
      </c>
      <c r="H13" s="36">
        <v>0.5</v>
      </c>
    </row>
    <row r="15" spans="3:11 16384:16384" x14ac:dyDescent="0.25">
      <c r="C15" s="1" t="s">
        <v>9</v>
      </c>
    </row>
    <row r="17" spans="3:12" x14ac:dyDescent="0.25">
      <c r="C17" s="11" t="s">
        <v>8</v>
      </c>
      <c r="D17" s="10">
        <v>0</v>
      </c>
      <c r="E17" s="10">
        <v>1</v>
      </c>
      <c r="F17" s="10">
        <v>2</v>
      </c>
      <c r="G17" s="10">
        <v>3</v>
      </c>
      <c r="H17" s="10">
        <v>4</v>
      </c>
      <c r="I17" s="10">
        <v>5</v>
      </c>
      <c r="J17" s="10">
        <v>6</v>
      </c>
    </row>
    <row r="18" spans="3:12" x14ac:dyDescent="0.25">
      <c r="D18">
        <f>S0</f>
        <v>80</v>
      </c>
      <c r="E18">
        <f t="shared" ref="E18:J18" si="0">D18*u</f>
        <v>86.954400859402568</v>
      </c>
      <c r="F18">
        <f t="shared" si="0"/>
        <v>94.513347860220875</v>
      </c>
      <c r="G18">
        <f t="shared" si="0"/>
        <v>102.72939420502256</v>
      </c>
      <c r="H18">
        <f t="shared" si="0"/>
        <v>111.65966154683899</v>
      </c>
      <c r="I18">
        <f t="shared" si="0"/>
        <v>121.36623712461321</v>
      </c>
      <c r="J18">
        <f t="shared" si="0"/>
        <v>131.91660542163655</v>
      </c>
      <c r="L18" s="12"/>
    </row>
    <row r="19" spans="3:12" x14ac:dyDescent="0.25">
      <c r="E19">
        <f t="shared" ref="E19:J19" si="1">D18*d</f>
        <v>73.125619143931175</v>
      </c>
      <c r="F19">
        <f t="shared" si="1"/>
        <v>79.482430001667424</v>
      </c>
      <c r="G19">
        <f t="shared" si="1"/>
        <v>86.391838495554921</v>
      </c>
      <c r="H19">
        <f t="shared" si="1"/>
        <v>93.901881944040625</v>
      </c>
      <c r="I19">
        <f t="shared" si="1"/>
        <v>102.06477355018006</v>
      </c>
      <c r="J19">
        <f t="shared" si="1"/>
        <v>110.93726541133132</v>
      </c>
      <c r="L19" s="12"/>
    </row>
    <row r="20" spans="3:12" x14ac:dyDescent="0.25">
      <c r="F20">
        <f>E19*d</f>
        <v>66.841952189790916</v>
      </c>
      <c r="G20">
        <f>F19*d</f>
        <v>72.652523811701258</v>
      </c>
      <c r="H20">
        <f>G19*d</f>
        <v>78.968208487124514</v>
      </c>
      <c r="I20">
        <f>H19*d</f>
        <v>85.832915699228778</v>
      </c>
      <c r="J20">
        <f>I19*d</f>
        <v>93.294371983025599</v>
      </c>
      <c r="L20" s="12"/>
    </row>
    <row r="21" spans="3:12" x14ac:dyDescent="0.25">
      <c r="G21">
        <f>F20*d</f>
        <v>61.098239233343833</v>
      </c>
      <c r="H21">
        <f>G20*d</f>
        <v>66.409509826248211</v>
      </c>
      <c r="I21">
        <f>H20*d</f>
        <v>72.182489228850258</v>
      </c>
      <c r="J21">
        <f>I20*d</f>
        <v>78.45731379293693</v>
      </c>
      <c r="L21" s="12"/>
    </row>
    <row r="22" spans="3:12" x14ac:dyDescent="0.25">
      <c r="H22">
        <f>G21*d</f>
        <v>55.84808215677868</v>
      </c>
      <c r="I22">
        <f>H21*d</f>
        <v>60.702956538617272</v>
      </c>
      <c r="J22">
        <f>I21*d</f>
        <v>65.979865202622733</v>
      </c>
      <c r="L22" s="12"/>
    </row>
    <row r="23" spans="3:12" x14ac:dyDescent="0.25">
      <c r="I23">
        <f>H22*d</f>
        <v>51.049069821444704</v>
      </c>
      <c r="J23">
        <f>I22*d</f>
        <v>55.486766009419163</v>
      </c>
      <c r="L23" s="12"/>
    </row>
    <row r="24" spans="3:12" x14ac:dyDescent="0.25">
      <c r="J24">
        <f>I23*d</f>
        <v>46.66243546768645</v>
      </c>
      <c r="L24" s="12"/>
    </row>
    <row r="27" spans="3:12" s="16" customFormat="1" x14ac:dyDescent="0.25"/>
    <row r="29" spans="3:12" x14ac:dyDescent="0.25">
      <c r="C29" s="1" t="s">
        <v>28</v>
      </c>
    </row>
    <row r="31" spans="3:12" x14ac:dyDescent="0.25">
      <c r="H31" s="1"/>
    </row>
    <row r="32" spans="3:12" x14ac:dyDescent="0.25">
      <c r="C32" s="1" t="s">
        <v>30</v>
      </c>
    </row>
    <row r="34" spans="3:10" ht="15.75" thickBot="1" x14ac:dyDescent="0.3">
      <c r="C34" s="11" t="s">
        <v>8</v>
      </c>
      <c r="D34" s="10"/>
      <c r="E34" s="10">
        <v>1</v>
      </c>
      <c r="F34" s="10">
        <v>2</v>
      </c>
      <c r="G34" s="10">
        <v>3</v>
      </c>
      <c r="H34" s="10">
        <v>4</v>
      </c>
      <c r="I34" s="10">
        <v>5</v>
      </c>
      <c r="J34" s="10">
        <v>6</v>
      </c>
    </row>
    <row r="35" spans="3:10" ht="15.75" thickBot="1" x14ac:dyDescent="0.3">
      <c r="D35" s="31">
        <v>0</v>
      </c>
      <c r="E35" s="32">
        <v>0</v>
      </c>
      <c r="F35" s="32">
        <v>0</v>
      </c>
      <c r="G35" s="32">
        <v>0</v>
      </c>
      <c r="H35" s="32">
        <v>0</v>
      </c>
      <c r="I35" s="32">
        <v>0</v>
      </c>
      <c r="J35" s="33">
        <v>0</v>
      </c>
    </row>
    <row r="36" spans="3:10" x14ac:dyDescent="0.25">
      <c r="D36" s="29"/>
      <c r="E36" s="30"/>
      <c r="F36" s="30"/>
      <c r="G36" s="30"/>
      <c r="H36" s="30"/>
      <c r="I36" s="30"/>
      <c r="J36" s="30"/>
    </row>
    <row r="37" spans="3:10" x14ac:dyDescent="0.25">
      <c r="E37" s="30"/>
      <c r="F37" s="30"/>
      <c r="G37" s="30"/>
      <c r="H37" s="30"/>
      <c r="I37" s="30"/>
      <c r="J37" s="30"/>
    </row>
    <row r="38" spans="3:10" x14ac:dyDescent="0.25">
      <c r="F38" s="30"/>
      <c r="G38" s="30"/>
      <c r="H38" s="30"/>
      <c r="I38" s="30"/>
      <c r="J38" s="30"/>
    </row>
    <row r="39" spans="3:10" x14ac:dyDescent="0.25">
      <c r="G39" s="30"/>
      <c r="H39" s="30"/>
      <c r="I39" s="30"/>
      <c r="J39" s="30"/>
    </row>
    <row r="40" spans="3:10" x14ac:dyDescent="0.25">
      <c r="H40" s="30"/>
      <c r="I40" s="30"/>
      <c r="J40" s="30"/>
    </row>
    <row r="41" spans="3:10" x14ac:dyDescent="0.25">
      <c r="I41" s="30"/>
      <c r="J41" s="30"/>
    </row>
    <row r="42" spans="3:10" x14ac:dyDescent="0.25">
      <c r="J42" s="30"/>
    </row>
    <row r="44" spans="3:10" x14ac:dyDescent="0.25">
      <c r="C44" t="s">
        <v>15</v>
      </c>
      <c r="D44" s="17"/>
      <c r="E44" s="17"/>
      <c r="F44" s="17"/>
      <c r="G44" s="17"/>
      <c r="H44" s="17"/>
      <c r="I44" s="17"/>
      <c r="J44" s="17"/>
    </row>
    <row r="45" spans="3:10" x14ac:dyDescent="0.25">
      <c r="C45" t="s">
        <v>16</v>
      </c>
      <c r="D45" s="12"/>
      <c r="E45" s="12"/>
      <c r="F45" s="12"/>
      <c r="G45" s="12"/>
      <c r="H45" s="12"/>
      <c r="I45" s="12"/>
      <c r="J45" s="12"/>
    </row>
    <row r="48" spans="3:10" x14ac:dyDescent="0.25">
      <c r="C48" t="s">
        <v>17</v>
      </c>
    </row>
    <row r="49" spans="3:10" ht="15.75" thickBot="1" x14ac:dyDescent="0.3"/>
    <row r="50" spans="3:10" x14ac:dyDescent="0.25">
      <c r="C50" t="s">
        <v>18</v>
      </c>
      <c r="D50" s="24" t="s">
        <v>19</v>
      </c>
      <c r="E50" s="25">
        <v>86</v>
      </c>
      <c r="F50" s="24" t="s">
        <v>20</v>
      </c>
      <c r="G50" s="25">
        <v>6</v>
      </c>
    </row>
    <row r="51" spans="3:10" x14ac:dyDescent="0.25">
      <c r="C51" t="s">
        <v>21</v>
      </c>
      <c r="D51" s="26" t="s">
        <v>22</v>
      </c>
      <c r="E51" s="27">
        <v>75</v>
      </c>
      <c r="F51" s="26" t="s">
        <v>23</v>
      </c>
      <c r="G51" s="27">
        <v>5</v>
      </c>
    </row>
    <row r="52" spans="3:10" ht="15.75" thickBot="1" x14ac:dyDescent="0.3">
      <c r="C52" t="s">
        <v>26</v>
      </c>
      <c r="D52" s="28" t="s">
        <v>24</v>
      </c>
      <c r="E52" s="6">
        <v>68</v>
      </c>
      <c r="F52" s="28" t="s">
        <v>25</v>
      </c>
      <c r="G52" s="6">
        <v>4</v>
      </c>
    </row>
    <row r="54" spans="3:10" x14ac:dyDescent="0.25">
      <c r="C54" s="1" t="s">
        <v>29</v>
      </c>
    </row>
    <row r="56" spans="3:10" x14ac:dyDescent="0.25">
      <c r="C56" s="11" t="s">
        <v>8</v>
      </c>
      <c r="D56" s="10"/>
      <c r="E56" s="10">
        <v>1</v>
      </c>
      <c r="F56" s="10">
        <v>2</v>
      </c>
      <c r="G56" s="10">
        <v>3</v>
      </c>
      <c r="H56" s="10">
        <v>4</v>
      </c>
      <c r="I56" s="10">
        <v>5</v>
      </c>
      <c r="J56" s="10">
        <v>6</v>
      </c>
    </row>
    <row r="57" spans="3:10" x14ac:dyDescent="0.25">
      <c r="D57" s="19"/>
      <c r="E57" s="19"/>
      <c r="F57" s="19"/>
      <c r="G57" s="19"/>
      <c r="H57" s="22">
        <f>MAX($E$52-H18,0)</f>
        <v>0</v>
      </c>
      <c r="I57" s="23">
        <f>MAX(I18-$E$51,0)</f>
        <v>46.366237124613207</v>
      </c>
      <c r="J57" s="21">
        <f>MAX(J18-$E$50,0)</f>
        <v>45.916605421636547</v>
      </c>
    </row>
    <row r="58" spans="3:10" x14ac:dyDescent="0.25">
      <c r="D58" s="19"/>
      <c r="E58" s="20"/>
      <c r="F58" s="20"/>
      <c r="G58" s="20"/>
      <c r="H58" s="22">
        <f t="shared" ref="H58:H61" si="2">MAX($E$52-H19,0)</f>
        <v>0</v>
      </c>
      <c r="I58" s="23">
        <f t="shared" ref="I58:I62" si="3">MAX(I19-$E$51,0)</f>
        <v>27.064773550180064</v>
      </c>
      <c r="J58" s="21">
        <f t="shared" ref="J58:J63" si="4">MAX(J19-$E$50,0)</f>
        <v>24.937265411331325</v>
      </c>
    </row>
    <row r="59" spans="3:10" x14ac:dyDescent="0.25">
      <c r="D59" s="19"/>
      <c r="E59" s="20"/>
      <c r="F59" s="20"/>
      <c r="G59" s="20"/>
      <c r="H59" s="22">
        <f t="shared" si="2"/>
        <v>0</v>
      </c>
      <c r="I59" s="23">
        <f t="shared" si="3"/>
        <v>10.832915699228778</v>
      </c>
      <c r="J59" s="21">
        <f t="shared" si="4"/>
        <v>7.2943719830255986</v>
      </c>
    </row>
    <row r="60" spans="3:10" x14ac:dyDescent="0.25">
      <c r="D60" s="19"/>
      <c r="E60" s="19"/>
      <c r="F60" s="20"/>
      <c r="G60" s="20"/>
      <c r="H60" s="22">
        <f t="shared" si="2"/>
        <v>1.5904901737517889</v>
      </c>
      <c r="I60" s="23">
        <f t="shared" si="3"/>
        <v>0</v>
      </c>
      <c r="J60" s="21">
        <f t="shared" si="4"/>
        <v>0</v>
      </c>
    </row>
    <row r="61" spans="3:10" x14ac:dyDescent="0.25">
      <c r="D61" s="19"/>
      <c r="E61" s="19"/>
      <c r="F61" s="19"/>
      <c r="G61" s="20"/>
      <c r="H61" s="22">
        <f t="shared" si="2"/>
        <v>12.15191784322132</v>
      </c>
      <c r="I61" s="23">
        <f t="shared" si="3"/>
        <v>0</v>
      </c>
      <c r="J61" s="21">
        <f t="shared" si="4"/>
        <v>0</v>
      </c>
    </row>
    <row r="62" spans="3:10" x14ac:dyDescent="0.25">
      <c r="D62" s="19"/>
      <c r="E62" s="19"/>
      <c r="F62" s="19"/>
      <c r="G62" s="19"/>
      <c r="H62" s="20"/>
      <c r="I62" s="23">
        <f t="shared" si="3"/>
        <v>0</v>
      </c>
      <c r="J62" s="21">
        <f t="shared" si="4"/>
        <v>0</v>
      </c>
    </row>
    <row r="63" spans="3:10" x14ac:dyDescent="0.25">
      <c r="D63" s="19"/>
      <c r="E63" s="19"/>
      <c r="F63" s="19"/>
      <c r="G63" s="19"/>
      <c r="H63" s="19"/>
      <c r="I63" s="20"/>
      <c r="J63" s="21">
        <f t="shared" si="4"/>
        <v>0</v>
      </c>
    </row>
    <row r="64" spans="3:10" x14ac:dyDescent="0.25">
      <c r="D64" s="19"/>
      <c r="E64" s="19"/>
      <c r="F64" s="19"/>
      <c r="G64" s="19"/>
      <c r="H64" s="19"/>
      <c r="I64" s="19"/>
      <c r="J64" s="20"/>
    </row>
    <row r="65" spans="3:3" ht="15.75" thickBot="1" x14ac:dyDescent="0.3">
      <c r="C65" t="s">
        <v>27</v>
      </c>
    </row>
    <row r="66" spans="3:3" ht="15.75" thickBot="1" x14ac:dyDescent="0.3">
      <c r="C66" s="18"/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Hoja1</vt:lpstr>
      <vt:lpstr>Hoja2</vt:lpstr>
      <vt:lpstr>Hoja3</vt:lpstr>
      <vt:lpstr>d</vt:lpstr>
      <vt:lpstr>deltat</vt:lpstr>
      <vt:lpstr>factorVola</vt:lpstr>
      <vt:lpstr>S0</vt:lpstr>
      <vt:lpstr>T</vt:lpstr>
      <vt:lpstr>tipo</vt:lpstr>
      <vt:lpstr>u</vt:lpstr>
      <vt:lpstr>vola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Maria Contreras</dc:creator>
  <cp:lastModifiedBy>José María Contreras Beltrán</cp:lastModifiedBy>
  <dcterms:created xsi:type="dcterms:W3CDTF">2011-02-17T11:30:14Z</dcterms:created>
  <dcterms:modified xsi:type="dcterms:W3CDTF">2025-09-14T18:50:22Z</dcterms:modified>
</cp:coreProperties>
</file>