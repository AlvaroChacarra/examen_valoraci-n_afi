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Calculo" sheetId="2" state="visible" r:id="rId4"/>
    <sheet name="Contras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<sst xmlns="http://schemas.openxmlformats.org/spreadsheetml/2006/main" count="61" uniqueCount="57">
  <si>
    <t xml:space="preserve">Guía del libro</t>
  </si>
  <si>
    <t xml:space="preserve">Ejemplo ilustrativo, no datos del enunciado ni de la cesta. S USD; X EUR/USD; valoración Q EUR.</t>
  </si>
  <si>
    <t xml:space="preserve">Conversión quanto fija λ=1 EUR/USD. q, rd, rf continuos. Inputs azules. μS=rf−q−ρσSσX.</t>
  </si>
  <si>
    <t xml:space="preserve">Desarrollos (1)–(10) y corrección de d en diap.25 en MEMORIA §3. Fórmulas usuales convierten todo el precio por X0.</t>
  </si>
  <si>
    <t xml:space="preserve">Las filas Python son controles originales; regenerar si se cambian inputs. Un denominador σN cero se marca sin correlación.</t>
  </si>
  <si>
    <t xml:space="preserve">Símbolo</t>
  </si>
  <si>
    <t xml:space="preserve">Valor / fórmula</t>
  </si>
  <si>
    <t xml:space="preserve">Unidad</t>
  </si>
  <si>
    <t xml:space="preserve">S0</t>
  </si>
  <si>
    <t xml:space="preserve">USD</t>
  </si>
  <si>
    <t xml:space="preserve">K</t>
  </si>
  <si>
    <t xml:space="preserve">X0</t>
  </si>
  <si>
    <t xml:space="preserve">EUR/USD</t>
  </si>
  <si>
    <t xml:space="preserve">rd</t>
  </si>
  <si>
    <t xml:space="preserve">1/año</t>
  </si>
  <si>
    <t xml:space="preserve">rf</t>
  </si>
  <si>
    <t xml:space="preserve">q</t>
  </si>
  <si>
    <t xml:space="preserve">sigmaS</t>
  </si>
  <si>
    <t xml:space="preserve">1/raíz año</t>
  </si>
  <si>
    <t xml:space="preserve">sigmaX</t>
  </si>
  <si>
    <t xml:space="preserve">rho</t>
  </si>
  <si>
    <t xml:space="preserve">adim.</t>
  </si>
  <si>
    <t xml:space="preserve">T</t>
  </si>
  <si>
    <t xml:space="preserve">años</t>
  </si>
  <si>
    <t xml:space="preserve">lambda</t>
  </si>
  <si>
    <t xml:space="preserve">EUR/USD fijo</t>
  </si>
  <si>
    <t xml:space="preserve">muS</t>
  </si>
  <si>
    <t xml:space="preserve">sigmaM</t>
  </si>
  <si>
    <t xml:space="preserve">sigmaN</t>
  </si>
  <si>
    <t xml:space="preserve">rhoMN</t>
  </si>
  <si>
    <t xml:space="preserve">F usual USD</t>
  </si>
  <si>
    <t xml:space="preserve">F quanto USD</t>
  </si>
  <si>
    <t xml:space="preserve">w</t>
  </si>
  <si>
    <t xml:space="preserve">d1 usual</t>
  </si>
  <si>
    <t xml:space="preserve">d2 usual</t>
  </si>
  <si>
    <t xml:space="preserve">d1 quanto</t>
  </si>
  <si>
    <t xml:space="preserve">d2 quanto</t>
  </si>
  <si>
    <t xml:space="preserve">Forward usual EUR</t>
  </si>
  <si>
    <t xml:space="preserve">Forward quanto EUR</t>
  </si>
  <si>
    <t xml:space="preserve">Call usual EUR</t>
  </si>
  <si>
    <t xml:space="preserve">Call quanto EUR</t>
  </si>
  <si>
    <t xml:space="preserve">Put usual EUR</t>
  </si>
  <si>
    <t xml:space="preserve">Put quanto EUR</t>
  </si>
  <si>
    <t xml:space="preserve">Paridad usual</t>
  </si>
  <si>
    <t xml:space="preserve">Paridad quanto</t>
  </si>
  <si>
    <t xml:space="preserve">Contrato</t>
  </si>
  <si>
    <t xml:space="preserve">Fórmula Python</t>
  </si>
  <si>
    <t xml:space="preserve">Cuadratura</t>
  </si>
  <si>
    <t xml:space="preserve">MC</t>
  </si>
  <si>
    <t xml:space="preserve">IC95 inferior</t>
  </si>
  <si>
    <t xml:space="preserve">IC95 superior</t>
  </si>
  <si>
    <t xml:space="preserve">forward</t>
  </si>
  <si>
    <t xml:space="preserve">forward_quanto</t>
  </si>
  <si>
    <t xml:space="preserve">call</t>
  </si>
  <si>
    <t xml:space="preserve">call_quanto</t>
  </si>
  <si>
    <t xml:space="preserve">put</t>
  </si>
  <si>
    <t xml:space="preserve">put_quanto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</si>
</sst>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4481"/>
        <bgColor rgb="FF333399"/>
      </patternFill>
    </fill>
    <fill>
      <patternFill patternType="solid">
        <fgColor rgb="FFE8F5F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5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48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5.71"/>
  </cols>
  <sheetData>
    <row r="1" customFormat="false" ht="31.5" hidden="false" customHeight="true" outlineLevel="0" collapsed="false">
      <c r="A1" s="2" t="s">
        <v>0</v>
      </c>
    </row>
    <row r="2" customFormat="false" ht="39.75" hidden="false" customHeight="true" outlineLevel="0" collapsed="false">
      <c r="A2" s="1" t="s">
        <v>1</v>
      </c>
    </row>
    <row r="3" customFormat="false" ht="39.75" hidden="false" customHeight="true" outlineLevel="0" collapsed="false">
      <c r="A3" s="1" t="s">
        <v>2</v>
      </c>
    </row>
    <row r="4" customFormat="false" ht="39.75" hidden="false" customHeight="true" outlineLevel="0" collapsed="false">
      <c r="A4" s="1" t="s">
        <v>3</v>
      </c>
    </row>
    <row r="5" customFormat="false" ht="39.75" hidden="false" customHeight="true" outlineLevel="0" collapsed="false">
      <c r="A5" s="1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.71"/>
    <col collapsed="false" customWidth="true" hidden="false" outlineLevel="0" max="3" min="2" style="0" width="24.71"/>
  </cols>
  <sheetData>
    <row r="1" customFormat="false" ht="31.5" hidden="false" customHeight="true" outlineLevel="0" collapsed="false">
      <c r="A1" s="2" t="s">
        <v>5</v>
      </c>
      <c r="B1" s="2" t="s">
        <v>6</v>
      </c>
      <c r="C1" s="2" t="s">
        <v>7</v>
      </c>
    </row>
    <row r="2" customFormat="false" ht="15" hidden="false" customHeight="false" outlineLevel="0" collapsed="false">
      <c r="A2" s="0" t="s">
        <v>8</v>
      </c>
      <c r="B2" s="3" t="n">
        <v>100</v>
      </c>
      <c r="C2" s="0" t="s">
        <v>9</v>
      </c>
    </row>
    <row r="3" customFormat="false" ht="15" hidden="false" customHeight="false" outlineLevel="0" collapsed="false">
      <c r="A3" s="0" t="s">
        <v>10</v>
      </c>
      <c r="B3" s="3" t="n">
        <v>105</v>
      </c>
      <c r="C3" s="0" t="s">
        <v>9</v>
      </c>
    </row>
    <row r="4" customFormat="false" ht="15" hidden="false" customHeight="false" outlineLevel="0" collapsed="false">
      <c r="A4" s="0" t="s">
        <v>11</v>
      </c>
      <c r="B4" s="3" t="n">
        <v>0.9</v>
      </c>
      <c r="C4" s="0" t="s">
        <v>12</v>
      </c>
    </row>
    <row r="5" customFormat="false" ht="15" hidden="false" customHeight="false" outlineLevel="0" collapsed="false">
      <c r="A5" s="0" t="s">
        <v>13</v>
      </c>
      <c r="B5" s="3" t="n">
        <v>0.03</v>
      </c>
      <c r="C5" s="0" t="s">
        <v>14</v>
      </c>
    </row>
    <row r="6" customFormat="false" ht="15" hidden="false" customHeight="false" outlineLevel="0" collapsed="false">
      <c r="A6" s="0" t="s">
        <v>15</v>
      </c>
      <c r="B6" s="3" t="n">
        <v>0.02</v>
      </c>
      <c r="C6" s="0" t="s">
        <v>14</v>
      </c>
    </row>
    <row r="7" customFormat="false" ht="15" hidden="false" customHeight="false" outlineLevel="0" collapsed="false">
      <c r="A7" s="0" t="s">
        <v>16</v>
      </c>
      <c r="B7" s="3" t="n">
        <v>0.01</v>
      </c>
      <c r="C7" s="0" t="s">
        <v>14</v>
      </c>
    </row>
    <row r="8" customFormat="false" ht="15" hidden="false" customHeight="false" outlineLevel="0" collapsed="false">
      <c r="A8" s="0" t="s">
        <v>17</v>
      </c>
      <c r="B8" s="3" t="n">
        <v>0.25</v>
      </c>
      <c r="C8" s="0" t="s">
        <v>18</v>
      </c>
    </row>
    <row r="9" customFormat="false" ht="15" hidden="false" customHeight="false" outlineLevel="0" collapsed="false">
      <c r="A9" s="0" t="s">
        <v>19</v>
      </c>
      <c r="B9" s="3" t="n">
        <v>0.12</v>
      </c>
      <c r="C9" s="0" t="s">
        <v>18</v>
      </c>
    </row>
    <row r="10" customFormat="false" ht="15" hidden="false" customHeight="false" outlineLevel="0" collapsed="false">
      <c r="A10" s="0" t="s">
        <v>20</v>
      </c>
      <c r="B10" s="3" t="n">
        <v>0.4</v>
      </c>
      <c r="C10" s="0" t="s">
        <v>21</v>
      </c>
    </row>
    <row r="11" customFormat="false" ht="15" hidden="false" customHeight="false" outlineLevel="0" collapsed="false">
      <c r="A11" s="0" t="s">
        <v>22</v>
      </c>
      <c r="B11" s="3" t="n">
        <v>2</v>
      </c>
      <c r="C11" s="0" t="s">
        <v>23</v>
      </c>
    </row>
    <row r="12" customFormat="false" ht="15" hidden="false" customHeight="false" outlineLevel="0" collapsed="false">
      <c r="A12" s="0" t="s">
        <v>24</v>
      </c>
      <c r="B12" s="3" t="n">
        <v>1</v>
      </c>
      <c r="C12" s="0" t="s">
        <v>25</v>
      </c>
    </row>
    <row r="13" customFormat="false" ht="15" hidden="false" customHeight="false" outlineLevel="0" collapsed="false">
      <c r="A13" s="0" t="s">
        <v>26</v>
      </c>
      <c r="B13" s="0" t="n">
        <f aca="false">B6-B7-B10*B8*B9</f>
        <v>0</v>
      </c>
    </row>
    <row r="14" customFormat="false" ht="15" hidden="false" customHeight="false" outlineLevel="0" collapsed="false">
      <c r="A14" s="0" t="s">
        <v>27</v>
      </c>
      <c r="B14" s="0" t="n">
        <f aca="false">B9</f>
        <v>0</v>
      </c>
    </row>
    <row r="15" customFormat="false" ht="15" hidden="false" customHeight="false" outlineLevel="0" collapsed="false">
      <c r="A15" s="0" t="s">
        <v>28</v>
      </c>
      <c r="B15" s="0" t="n">
        <f aca="false">SQRT(B8^2+B9^2+2*B10*B8*B9)</f>
        <v>0</v>
      </c>
    </row>
    <row r="16" customFormat="false" ht="15" hidden="false" customHeight="false" outlineLevel="0" collapsed="false">
      <c r="A16" s="0" t="s">
        <v>29</v>
      </c>
      <c r="B16" s="0" t="n">
        <f aca="false">IF(OR(B15=0,B9=0),"No definida",(B9+B10*B8)/B15)</f>
        <v>0</v>
      </c>
    </row>
    <row r="17" customFormat="false" ht="15" hidden="false" customHeight="false" outlineLevel="0" collapsed="false">
      <c r="A17" s="0" t="s">
        <v>30</v>
      </c>
      <c r="B17" s="0" t="n">
        <f aca="false">B2*EXP((B6-B7)*B11)</f>
        <v>0</v>
      </c>
    </row>
    <row r="18" customFormat="false" ht="15" hidden="false" customHeight="false" outlineLevel="0" collapsed="false">
      <c r="A18" s="0" t="s">
        <v>31</v>
      </c>
      <c r="B18" s="0" t="n">
        <f aca="false">B2*EXP(B13*B11)</f>
        <v>0</v>
      </c>
    </row>
    <row r="19" customFormat="false" ht="15" hidden="false" customHeight="false" outlineLevel="0" collapsed="false">
      <c r="A19" s="0" t="s">
        <v>32</v>
      </c>
      <c r="B19" s="0" t="n">
        <f aca="false">B8*SQRT(B11)</f>
        <v>0</v>
      </c>
    </row>
    <row r="20" customFormat="false" ht="15" hidden="false" customHeight="false" outlineLevel="0" collapsed="false">
      <c r="A20" s="0" t="s">
        <v>33</v>
      </c>
      <c r="B20" s="0" t="n">
        <f aca="false">IF(B19=0,0,LN(B17/B3)/B19+B19/2)</f>
        <v>0</v>
      </c>
    </row>
    <row r="21" customFormat="false" ht="15" hidden="false" customHeight="false" outlineLevel="0" collapsed="false">
      <c r="A21" s="0" t="s">
        <v>34</v>
      </c>
      <c r="B21" s="0" t="n">
        <f aca="false">B20-B19</f>
        <v>0</v>
      </c>
    </row>
    <row r="22" customFormat="false" ht="15" hidden="false" customHeight="false" outlineLevel="0" collapsed="false">
      <c r="A22" s="0" t="s">
        <v>35</v>
      </c>
      <c r="B22" s="0" t="n">
        <f aca="false">IF(B19=0,0,LN(B18/B3)/B19+B19/2)</f>
        <v>0</v>
      </c>
    </row>
    <row r="23" customFormat="false" ht="15" hidden="false" customHeight="false" outlineLevel="0" collapsed="false">
      <c r="A23" s="0" t="s">
        <v>36</v>
      </c>
      <c r="B23" s="0" t="n">
        <f aca="false">B22-B19</f>
        <v>0</v>
      </c>
    </row>
    <row r="24" customFormat="false" ht="15" hidden="false" customHeight="false" outlineLevel="0" collapsed="false">
      <c r="A24" s="0" t="s">
        <v>37</v>
      </c>
      <c r="B24" s="0" t="n">
        <f aca="false">B4*(B2*EXP(-B7*B11)-B3*EXP(-B6*B11))</f>
        <v>-2.57672140228657</v>
      </c>
    </row>
    <row r="25" customFormat="false" ht="15" hidden="false" customHeight="false" outlineLevel="0" collapsed="false">
      <c r="A25" s="0" t="s">
        <v>38</v>
      </c>
      <c r="B25" s="0" t="n">
        <f aca="false">B12*EXP(-B5*B11)*(B18-B3)</f>
        <v>-5.08477607327316</v>
      </c>
    </row>
    <row r="26" customFormat="false" ht="15" hidden="false" customHeight="false" outlineLevel="0" collapsed="false">
      <c r="A26" s="0" t="s">
        <v>39</v>
      </c>
      <c r="B26" s="0" t="n">
        <f aca="false">B4*EXP(-B6*B11)*IF(B19=0,MAX(B17-B3,0),B17*norm.s.dist(B20,TRUE())-B3*norm.s.dist(B21,TRUE()))</f>
        <v>11.3119970043098</v>
      </c>
    </row>
    <row r="27" customFormat="false" ht="15" hidden="false" customHeight="false" outlineLevel="0" collapsed="false">
      <c r="A27" s="0" t="s">
        <v>40</v>
      </c>
      <c r="B27" s="0" t="n">
        <f aca="false">B12*EXP(-B5*B11)*IF(B19=0,MAX(B18-B3,0),B18*norm.s.dist(B22,TRUE())-B3*norm.s.dist(B23,TRUE()))</f>
        <v>11.1248906882463</v>
      </c>
    </row>
    <row r="28" customFormat="false" ht="15" hidden="false" customHeight="false" outlineLevel="0" collapsed="false">
      <c r="A28" s="0" t="s">
        <v>41</v>
      </c>
      <c r="B28" s="0" t="n">
        <f aca="false">B4*EXP(-B6*B11)*IF(B19=0,MAX(B3-B17,0),B3*norm.s.dist(-B21,TRUE())-B17*norm.s.dist(-B20,TRUE()))</f>
        <v>13.8887184065963</v>
      </c>
    </row>
    <row r="29" customFormat="false" ht="15" hidden="false" customHeight="false" outlineLevel="0" collapsed="false">
      <c r="A29" s="0" t="s">
        <v>42</v>
      </c>
      <c r="B29" s="0" t="n">
        <f aca="false">B12*EXP(-B5*B11)*IF(B19=0,MAX(B3-B18,0),B3*norm.s.dist(-B23,TRUE())-B18*norm.s.dist(-B22,TRUE()))</f>
        <v>16.2096667615195</v>
      </c>
    </row>
    <row r="30" customFormat="false" ht="15" hidden="false" customHeight="false" outlineLevel="0" collapsed="false">
      <c r="A30" s="0" t="s">
        <v>43</v>
      </c>
      <c r="B30" s="0" t="n">
        <f aca="false">B26-B28-B24</f>
        <v>0</v>
      </c>
    </row>
    <row r="31" customFormat="false" ht="15" hidden="false" customHeight="false" outlineLevel="0" collapsed="false">
      <c r="A31" s="0" t="s">
        <v>44</v>
      </c>
      <c r="B31" s="0" t="n">
        <f aca="false">B27-B29-B25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4" width="18.71"/>
  </cols>
  <sheetData>
    <row r="1" customFormat="false" ht="31.5" hidden="false" customHeight="true" outlineLevel="0" collapsed="false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</row>
    <row r="2" customFormat="false" ht="15" hidden="false" customHeight="false" outlineLevel="0" collapsed="false">
      <c r="A2" s="4" t="s">
        <v>51</v>
      </c>
      <c r="B2" s="4" t="n">
        <v>-2.57672140228657</v>
      </c>
      <c r="C2" s="4" t="n">
        <v>-2.57672140228657</v>
      </c>
      <c r="D2" s="4" t="n">
        <v>-2.6009190285966</v>
      </c>
      <c r="E2" s="4" t="n">
        <v>-2.66620437504646</v>
      </c>
      <c r="F2" s="4" t="n">
        <v>-2.53563368214675</v>
      </c>
    </row>
    <row r="3" customFormat="false" ht="15" hidden="false" customHeight="false" outlineLevel="0" collapsed="false">
      <c r="A3" s="4" t="s">
        <v>52</v>
      </c>
      <c r="B3" s="4" t="n">
        <v>-5.08477607327316</v>
      </c>
      <c r="C3" s="4" t="n">
        <v>-5.08477607327317</v>
      </c>
      <c r="D3" s="4" t="n">
        <v>-5.10868377446256</v>
      </c>
      <c r="E3" s="4" t="n">
        <v>-5.1757428323527</v>
      </c>
      <c r="F3" s="4" t="n">
        <v>-5.04162471657243</v>
      </c>
    </row>
    <row r="4" customFormat="false" ht="15" hidden="false" customHeight="false" outlineLevel="0" collapsed="false">
      <c r="A4" s="4" t="s">
        <v>53</v>
      </c>
      <c r="B4" s="4" t="n">
        <v>11.3119970043098</v>
      </c>
      <c r="C4" s="4" t="n">
        <v>11.3119970043098</v>
      </c>
      <c r="D4" s="4" t="n">
        <v>11.3001942385682</v>
      </c>
      <c r="E4" s="4" t="n">
        <v>11.2533063445617</v>
      </c>
      <c r="F4" s="4" t="n">
        <v>11.3470821325746</v>
      </c>
    </row>
    <row r="5" customFormat="false" ht="15" hidden="false" customHeight="false" outlineLevel="0" collapsed="false">
      <c r="A5" s="4" t="s">
        <v>54</v>
      </c>
      <c r="B5" s="4" t="n">
        <v>11.1248906882463</v>
      </c>
      <c r="C5" s="4" t="n">
        <v>11.1248906882463</v>
      </c>
      <c r="D5" s="4" t="n">
        <v>11.1171611713051</v>
      </c>
      <c r="E5" s="4" t="n">
        <v>11.0733403486346</v>
      </c>
      <c r="F5" s="4" t="n">
        <v>11.1609819939756</v>
      </c>
    </row>
    <row r="6" customFormat="false" ht="15" hidden="false" customHeight="false" outlineLevel="0" collapsed="false">
      <c r="A6" s="4" t="s">
        <v>55</v>
      </c>
      <c r="B6" s="4" t="n">
        <v>13.8887184065963</v>
      </c>
      <c r="C6" s="4" t="n">
        <v>13.8887184065963</v>
      </c>
      <c r="D6" s="4" t="n">
        <v>13.9011132671648</v>
      </c>
      <c r="E6" s="4" t="n">
        <v>13.8718416535862</v>
      </c>
      <c r="F6" s="4" t="n">
        <v>13.9303848807433</v>
      </c>
    </row>
    <row r="7" customFormat="false" ht="15" hidden="false" customHeight="false" outlineLevel="0" collapsed="false">
      <c r="A7" s="4" t="s">
        <v>56</v>
      </c>
      <c r="B7" s="4" t="n">
        <v>16.2096667615195</v>
      </c>
      <c r="C7" s="4" t="n">
        <v>16.2096667615195</v>
      </c>
      <c r="D7" s="4" t="n">
        <v>16.2258449457677</v>
      </c>
      <c r="E7" s="4" t="n">
        <v>16.1913374729886</v>
      </c>
      <c r="F7" s="4" t="n">
        <v>16.2603524185467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2026-10-24T22:25:58Z</dcterms:created>
  <dc:creator/>
  <dc:description/>
  <dc:language>en-US</dc:language>
  <cp:lastModifiedBy/>
  <dcterms:modified xsi:type="dcterms:W3CDTF">2026-10-24T22:25:58Z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