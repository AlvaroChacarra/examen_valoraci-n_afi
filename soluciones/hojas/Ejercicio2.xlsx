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EME" sheetId="1" state="visible" r:id="rId3"/>
    <sheet name="Calculo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<sst xmlns="http://schemas.openxmlformats.org/spreadsheetml/2006/main" count="37" uniqueCount="35">
  <si>
    <t xml:space="preserve">Guía del libro</t>
  </si>
  <si>
    <t xml:space="preserve">Ejemplo ilustrativo, no datos de PDF-002. Pago T, fixing [T,U], una curva; σ absoluta.</t>
  </si>
  <si>
    <t xml:space="preserve">Inputs editables azules; P(t,T) se deriva de P(t,U) y f. Varianza constante σ²(T−t). Fórmulas generales en MEMORIA §2.</t>
  </si>
  <si>
    <t xml:space="preserve">No truncar la normal. Limitación: cola bajo −1/δ incompatible globalmente con bonos positivos. Paridad entre contratos de idéntica fecha de pago.</t>
  </si>
  <si>
    <t xml:space="preserve">Cuadratura contiene sólo evidencia Python original; se debe regenerar tras editar inputs para renovar ese control.</t>
  </si>
  <si>
    <t xml:space="preserve">Símbolo</t>
  </si>
  <si>
    <t xml:space="preserve">Valor / fórmula</t>
  </si>
  <si>
    <t xml:space="preserve">Unidad</t>
  </si>
  <si>
    <t xml:space="preserve">f</t>
  </si>
  <si>
    <t xml:space="preserve">tipo/año</t>
  </si>
  <si>
    <t xml:space="preserve">K</t>
  </si>
  <si>
    <t xml:space="preserve">T-t</t>
  </si>
  <si>
    <t xml:space="preserve">años</t>
  </si>
  <si>
    <t xml:space="preserve">delta</t>
  </si>
  <si>
    <t xml:space="preserve">sigma_n</t>
  </si>
  <si>
    <t xml:space="preserve">tipo/raíz año</t>
  </si>
  <si>
    <t xml:space="preserve">P(t,U)</t>
  </si>
  <si>
    <t xml:space="preserve">adimensional</t>
  </si>
  <si>
    <t xml:space="preserve">Nom</t>
  </si>
  <si>
    <t xml:space="preserve">moneda</t>
  </si>
  <si>
    <t xml:space="preserve">v</t>
  </si>
  <si>
    <t xml:space="preserve">s</t>
  </si>
  <si>
    <t xml:space="preserve">d</t>
  </si>
  <si>
    <t xml:space="preserve">Phi(d)</t>
  </si>
  <si>
    <t xml:space="preserve">phi(d)</t>
  </si>
  <si>
    <t xml:space="preserve">A</t>
  </si>
  <si>
    <t xml:space="preserve">B</t>
  </si>
  <si>
    <t xml:space="preserve">P(t,T)</t>
  </si>
  <si>
    <t xml:space="preserve">FRA</t>
  </si>
  <si>
    <t xml:space="preserve">caplet</t>
  </si>
  <si>
    <t xml:space="preserve">floorlet</t>
  </si>
  <si>
    <t xml:space="preserve">paridad residual</t>
  </si>
  <si>
    <t xml:space="preserve">K equilibrio</t>
  </si>
  <si>
    <t xml:space="preserve">caplet cuadratura Python</t>
  </si>
  <si>
    <t xml:space="preserve">diferencia control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</si>
</sst>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000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004481"/>
        <bgColor rgb="FF333399"/>
      </patternFill>
    </fill>
    <fill>
      <patternFill patternType="solid">
        <fgColor rgb="FFE8F5FA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F5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481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15.71"/>
  </cols>
  <sheetData>
    <row r="1" customFormat="false" ht="31.5" hidden="false" customHeight="true" outlineLevel="0" collapsed="false">
      <c r="A1" s="2" t="s">
        <v>0</v>
      </c>
    </row>
    <row r="2" customFormat="false" ht="39.75" hidden="false" customHeight="true" outlineLevel="0" collapsed="false">
      <c r="A2" s="1" t="s">
        <v>1</v>
      </c>
    </row>
    <row r="3" customFormat="false" ht="39.75" hidden="false" customHeight="true" outlineLevel="0" collapsed="false">
      <c r="A3" s="1" t="s">
        <v>2</v>
      </c>
    </row>
    <row r="4" customFormat="false" ht="39.75" hidden="false" customHeight="true" outlineLevel="0" collapsed="false">
      <c r="A4" s="1" t="s">
        <v>3</v>
      </c>
    </row>
    <row r="5" customFormat="false" ht="39.75" hidden="false" customHeight="true" outlineLevel="0" collapsed="false">
      <c r="A5" s="1" t="s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.71"/>
    <col collapsed="false" customWidth="true" hidden="false" outlineLevel="0" max="3" min="2" style="0" width="24.71"/>
  </cols>
  <sheetData>
    <row r="1" customFormat="false" ht="31.5" hidden="false" customHeight="true" outlineLevel="0" collapsed="false">
      <c r="A1" s="2" t="s">
        <v>5</v>
      </c>
      <c r="B1" s="2" t="s">
        <v>6</v>
      </c>
      <c r="C1" s="2" t="s">
        <v>7</v>
      </c>
    </row>
    <row r="2" customFormat="false" ht="15" hidden="false" customHeight="false" outlineLevel="0" collapsed="false">
      <c r="A2" s="0" t="s">
        <v>8</v>
      </c>
      <c r="B2" s="3" t="n">
        <v>0.03</v>
      </c>
      <c r="C2" s="0" t="s">
        <v>9</v>
      </c>
    </row>
    <row r="3" customFormat="false" ht="15" hidden="false" customHeight="false" outlineLevel="0" collapsed="false">
      <c r="A3" s="0" t="s">
        <v>10</v>
      </c>
      <c r="B3" s="3" t="n">
        <v>0.032</v>
      </c>
      <c r="C3" s="0" t="s">
        <v>9</v>
      </c>
    </row>
    <row r="4" customFormat="false" ht="15" hidden="false" customHeight="false" outlineLevel="0" collapsed="false">
      <c r="A4" s="0" t="s">
        <v>11</v>
      </c>
      <c r="B4" s="3" t="n">
        <v>2</v>
      </c>
      <c r="C4" s="0" t="s">
        <v>12</v>
      </c>
    </row>
    <row r="5" customFormat="false" ht="15" hidden="false" customHeight="false" outlineLevel="0" collapsed="false">
      <c r="A5" s="0" t="s">
        <v>13</v>
      </c>
      <c r="B5" s="3" t="n">
        <v>0.5</v>
      </c>
      <c r="C5" s="0" t="s">
        <v>12</v>
      </c>
    </row>
    <row r="6" customFormat="false" ht="15" hidden="false" customHeight="false" outlineLevel="0" collapsed="false">
      <c r="A6" s="0" t="s">
        <v>14</v>
      </c>
      <c r="B6" s="3" t="n">
        <v>0.01</v>
      </c>
      <c r="C6" s="0" t="s">
        <v>15</v>
      </c>
    </row>
    <row r="7" customFormat="false" ht="15" hidden="false" customHeight="false" outlineLevel="0" collapsed="false">
      <c r="A7" s="0" t="s">
        <v>16</v>
      </c>
      <c r="B7" s="3" t="n">
        <v>0.927743486328553</v>
      </c>
      <c r="C7" s="0" t="s">
        <v>17</v>
      </c>
    </row>
    <row r="8" customFormat="false" ht="15" hidden="false" customHeight="false" outlineLevel="0" collapsed="false">
      <c r="A8" s="0" t="s">
        <v>18</v>
      </c>
      <c r="B8" s="3" t="n">
        <v>1000000</v>
      </c>
      <c r="C8" s="0" t="s">
        <v>19</v>
      </c>
    </row>
    <row r="9" customFormat="false" ht="15" hidden="false" customHeight="false" outlineLevel="0" collapsed="false">
      <c r="A9" s="0" t="s">
        <v>20</v>
      </c>
      <c r="B9" s="0" t="n">
        <f aca="false">B6^2*B4</f>
        <v>0.0002</v>
      </c>
    </row>
    <row r="10" customFormat="false" ht="15" hidden="false" customHeight="false" outlineLevel="0" collapsed="false">
      <c r="A10" s="0" t="s">
        <v>21</v>
      </c>
      <c r="B10" s="0" t="n">
        <f aca="false">SQRT(B9)</f>
        <v>0.014142135623731</v>
      </c>
    </row>
    <row r="11" customFormat="false" ht="15" hidden="false" customHeight="false" outlineLevel="0" collapsed="false">
      <c r="A11" s="0" t="s">
        <v>22</v>
      </c>
      <c r="B11" s="0" t="n">
        <f aca="false">IF(B10=0,0,(B2-B3)/B10)</f>
        <v>-0.14142135623731</v>
      </c>
    </row>
    <row r="12" customFormat="false" ht="15" hidden="false" customHeight="false" outlineLevel="0" collapsed="false">
      <c r="A12" s="0" t="s">
        <v>23</v>
      </c>
      <c r="B12" s="0" t="n">
        <f aca="false">NORMDIST(B11,0,1,TRUE())</f>
        <v>0.443768541990857</v>
      </c>
    </row>
    <row r="13" customFormat="false" ht="15" hidden="false" customHeight="false" outlineLevel="0" collapsed="false">
      <c r="A13" s="0" t="s">
        <v>24</v>
      </c>
      <c r="B13" s="0" t="n">
        <f aca="false">NORMDIST(B11,0,1,FALSE())</f>
        <v>0.394972738386952</v>
      </c>
    </row>
    <row r="14" customFormat="false" ht="15" hidden="false" customHeight="false" outlineLevel="0" collapsed="false">
      <c r="A14" s="0" t="s">
        <v>25</v>
      </c>
      <c r="B14" s="0" t="n">
        <f aca="false">IF(B10=0,MAX(B2-B3,0),(B2-B3)*B12+B10*B13)</f>
        <v>0.00469822094996297</v>
      </c>
    </row>
    <row r="15" customFormat="false" ht="15" hidden="false" customHeight="false" outlineLevel="0" collapsed="false">
      <c r="A15" s="0" t="s">
        <v>26</v>
      </c>
      <c r="B15" s="0" t="n">
        <f aca="false">IF(B10=0,MAX(B3-B2,0),(B3-B2)*(1-B12)+B10*B13)</f>
        <v>0.00669822094996297</v>
      </c>
    </row>
    <row r="16" customFormat="false" ht="15" hidden="false" customHeight="false" outlineLevel="0" collapsed="false">
      <c r="A16" s="0" t="s">
        <v>27</v>
      </c>
      <c r="B16" s="0" t="n">
        <f aca="false">B7*(1+B5*B2)</f>
        <v>0.941659638623481</v>
      </c>
    </row>
    <row r="17" customFormat="false" ht="15" hidden="false" customHeight="false" outlineLevel="0" collapsed="false">
      <c r="A17" s="0" t="s">
        <v>28</v>
      </c>
      <c r="B17" s="0" t="n">
        <f aca="false">B8*B5*B7*((1+B5*B2)*(B2-B3)+B5*B9)</f>
        <v>-895.272464307054</v>
      </c>
    </row>
    <row r="18" customFormat="false" ht="15" hidden="false" customHeight="false" outlineLevel="0" collapsed="false">
      <c r="A18" s="0" t="s">
        <v>29</v>
      </c>
      <c r="B18" s="0" t="n">
        <f aca="false">B8*B5*B7*((1+B5*B2)*B14+B5*B9*B12)</f>
        <v>2232.64768967118</v>
      </c>
    </row>
    <row r="19" customFormat="false" ht="15" hidden="false" customHeight="false" outlineLevel="0" collapsed="false">
      <c r="A19" s="0" t="s">
        <v>30</v>
      </c>
      <c r="B19" s="0" t="n">
        <f aca="false">B8*B5*B7*((1+B5*B2)*B15-B5*B9*(1-B12))</f>
        <v>3127.92015397823</v>
      </c>
    </row>
    <row r="20" customFormat="false" ht="15" hidden="false" customHeight="false" outlineLevel="0" collapsed="false">
      <c r="A20" s="0" t="s">
        <v>31</v>
      </c>
      <c r="B20" s="0" t="n">
        <f aca="false">B18-B19-B17</f>
        <v>0</v>
      </c>
    </row>
    <row r="21" customFormat="false" ht="15" hidden="false" customHeight="false" outlineLevel="0" collapsed="false">
      <c r="A21" s="0" t="s">
        <v>32</v>
      </c>
      <c r="B21" s="0" t="n">
        <f aca="false">B2+B5*B9/(1+B5*B2)</f>
        <v>0.0300985221674877</v>
      </c>
    </row>
    <row r="22" customFormat="false" ht="15" hidden="false" customHeight="false" outlineLevel="0" collapsed="false">
      <c r="A22" s="0" t="s">
        <v>33</v>
      </c>
      <c r="B22" s="0" t="n">
        <v>2232.64768967118</v>
      </c>
    </row>
    <row r="23" customFormat="false" ht="15" hidden="false" customHeight="false" outlineLevel="0" collapsed="false">
      <c r="A23" s="0" t="s">
        <v>34</v>
      </c>
      <c r="B23" s="0" t="n">
        <f aca="false">B18-B22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LibreOfficeDev/26.8.0.0.alpha0$Linux_X86_64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2026-10-25T12:13:41Z</dcterms:created>
  <dc:creator/>
  <dc:description/>
  <dc:language>en-US</dc:language>
  <cp:lastModifiedBy/>
  <dcterms:modified xsi:type="dcterms:W3CDTF">2026-10-25T12:13:41Z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